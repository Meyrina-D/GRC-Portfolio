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GCR\"/>
    </mc:Choice>
  </mc:AlternateContent>
  <xr:revisionPtr revIDLastSave="0" documentId="13_ncr:1_{905A90B2-C2FB-442C-A865-7827BFDEFB12}" xr6:coauthVersionLast="36" xr6:coauthVersionMax="36" xr10:uidLastSave="{00000000-0000-0000-0000-000000000000}"/>
  <bookViews>
    <workbookView xWindow="0" yWindow="0" windowWidth="14380" windowHeight="6160" xr2:uid="{3E0DFE7C-CC4E-4CC1-B12D-E09EF094EAB1}"/>
  </bookViews>
  <sheets>
    <sheet name="Asset register " sheetId="3" r:id="rId1"/>
    <sheet name="Risk register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4" l="1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4" i="4"/>
  <c r="K4" i="4" s="1"/>
</calcChain>
</file>

<file path=xl/sharedStrings.xml><?xml version="1.0" encoding="utf-8"?>
<sst xmlns="http://schemas.openxmlformats.org/spreadsheetml/2006/main" count="407" uniqueCount="247">
  <si>
    <t>Asset ID</t>
  </si>
  <si>
    <t>Asset Name</t>
  </si>
  <si>
    <t>Asset Type</t>
  </si>
  <si>
    <t>Owner</t>
  </si>
  <si>
    <t>Department</t>
  </si>
  <si>
    <t>Location</t>
  </si>
  <si>
    <t>Classification</t>
  </si>
  <si>
    <t>Value</t>
  </si>
  <si>
    <t>A001</t>
  </si>
  <si>
    <t>CEO Laptop</t>
  </si>
  <si>
    <t>Hardware</t>
  </si>
  <si>
    <t>Shawn Garcia</t>
  </si>
  <si>
    <t>Executive</t>
  </si>
  <si>
    <t>Head Office</t>
  </si>
  <si>
    <t>Restricted</t>
  </si>
  <si>
    <t>High</t>
  </si>
  <si>
    <t>A002</t>
  </si>
  <si>
    <t>CTO Laptop</t>
  </si>
  <si>
    <t>Priya</t>
  </si>
  <si>
    <t>Technology</t>
  </si>
  <si>
    <t>A003</t>
  </si>
  <si>
    <t>HR System</t>
  </si>
  <si>
    <t>Software</t>
  </si>
  <si>
    <t>Reese Miller</t>
  </si>
  <si>
    <t>HR &amp; Finance</t>
  </si>
  <si>
    <t>Cloud</t>
  </si>
  <si>
    <t>Confidential</t>
  </si>
  <si>
    <t>A004</t>
  </si>
  <si>
    <t>Finance Database</t>
  </si>
  <si>
    <t>Data</t>
  </si>
  <si>
    <t>Sunil</t>
  </si>
  <si>
    <t>Finance &amp; Admin</t>
  </si>
  <si>
    <t>Server</t>
  </si>
  <si>
    <t>A005</t>
  </si>
  <si>
    <t>Security Monitoring Tool</t>
  </si>
  <si>
    <t>Rohith Varma</t>
  </si>
  <si>
    <t>Tech &amp; Security</t>
  </si>
  <si>
    <t>SOC</t>
  </si>
  <si>
    <t>A006</t>
  </si>
  <si>
    <t>IT Support Laptop</t>
  </si>
  <si>
    <t>Teddy Yu</t>
  </si>
  <si>
    <t>Office</t>
  </si>
  <si>
    <t>Internal</t>
  </si>
  <si>
    <t>Medium</t>
  </si>
  <si>
    <t>A007</t>
  </si>
  <si>
    <t>Cloud Infrastructure</t>
  </si>
  <si>
    <t>Service</t>
  </si>
  <si>
    <t>Karthick</t>
  </si>
  <si>
    <t>A008</t>
  </si>
  <si>
    <t>Penetration Testing Toolkit</t>
  </si>
  <si>
    <t>Ananya</t>
  </si>
  <si>
    <t>Lab</t>
  </si>
  <si>
    <t>A009</t>
  </si>
  <si>
    <t>Security Logs</t>
  </si>
  <si>
    <t>Vidhya</t>
  </si>
  <si>
    <t>A010</t>
  </si>
  <si>
    <t>Project Management Tool</t>
  </si>
  <si>
    <t>Connor Hamilton</t>
  </si>
  <si>
    <t>Client &amp; Delivery</t>
  </si>
  <si>
    <t>A011</t>
  </si>
  <si>
    <t>Client Database</t>
  </si>
  <si>
    <t>Mahendran</t>
  </si>
  <si>
    <t>A012</t>
  </si>
  <si>
    <t>Implementation Server</t>
  </si>
  <si>
    <t>Nick Sharma</t>
  </si>
  <si>
    <t>Data Center</t>
  </si>
  <si>
    <t>A013</t>
  </si>
  <si>
    <t>Business Development CRM</t>
  </si>
  <si>
    <t>Cahaya Dewi</t>
  </si>
  <si>
    <t>A014</t>
  </si>
  <si>
    <t>Customer Support System</t>
  </si>
  <si>
    <t>Reena</t>
  </si>
  <si>
    <t>Client Support</t>
  </si>
  <si>
    <t>A015</t>
  </si>
  <si>
    <t>Risk Register</t>
  </si>
  <si>
    <t>Mariana</t>
  </si>
  <si>
    <t>Risk &amp; Compliance</t>
  </si>
  <si>
    <t>A016</t>
  </si>
  <si>
    <t>Compliance Documents</t>
  </si>
  <si>
    <t>Sanjay Patel</t>
  </si>
  <si>
    <t>A017</t>
  </si>
  <si>
    <t>Audit Reports</t>
  </si>
  <si>
    <t>Rufus Stewart</t>
  </si>
  <si>
    <t>Secure Storage</t>
  </si>
  <si>
    <t>A018</t>
  </si>
  <si>
    <t>Operations Dashboard</t>
  </si>
  <si>
    <t>Sofiya</t>
  </si>
  <si>
    <t>Business Operations</t>
  </si>
  <si>
    <t>A019</t>
  </si>
  <si>
    <t>Business Reports</t>
  </si>
  <si>
    <t>Amith</t>
  </si>
  <si>
    <t>A020</t>
  </si>
  <si>
    <t>Operations Tracking Sheet</t>
  </si>
  <si>
    <t>Ajmal</t>
  </si>
  <si>
    <t>Asset Description</t>
  </si>
  <si>
    <t>Laptop used by CEO for executive operations</t>
  </si>
  <si>
    <t>Laptop used for managing IT infrastructure</t>
  </si>
  <si>
    <t>System managing employee and payroll data</t>
  </si>
  <si>
    <t>Database storing financial transactions</t>
  </si>
  <si>
    <t>Tool used for monitoring security events</t>
  </si>
  <si>
    <t>Laptop used for IT support activities</t>
  </si>
  <si>
    <t>Cloud environment hosting applications</t>
  </si>
  <si>
    <t>Tools used for security testing and assessments</t>
  </si>
  <si>
    <t>Logs generated from security systems</t>
  </si>
  <si>
    <t>Tool used for project planning and tracking</t>
  </si>
  <si>
    <t>Database storing client-related information</t>
  </si>
  <si>
    <t>Server used for deployment and implementation</t>
  </si>
  <si>
    <t>CRM system for managing business leads</t>
  </si>
  <si>
    <t>System for handling customer queries</t>
  </si>
  <si>
    <t>Document tracking identified risks</t>
  </si>
  <si>
    <t>Documents related to regulatory compliance</t>
  </si>
  <si>
    <t>Internal and external audit reports</t>
  </si>
  <si>
    <t>Dashboard for monitoring business operations</t>
  </si>
  <si>
    <t>Reports used for business decision-making</t>
  </si>
  <si>
    <t>Sheet used for tracking operational tasks</t>
  </si>
  <si>
    <t>Risk ID</t>
  </si>
  <si>
    <t>Threat</t>
  </si>
  <si>
    <t>Vulnerability</t>
  </si>
  <si>
    <t>Risk Score</t>
  </si>
  <si>
    <t>Risk Level</t>
  </si>
  <si>
    <t>Control</t>
  </si>
  <si>
    <t>R001</t>
  </si>
  <si>
    <t>Data Theft</t>
  </si>
  <si>
    <t>Weak password</t>
  </si>
  <si>
    <t>R002</t>
  </si>
  <si>
    <t>Malware Attack</t>
  </si>
  <si>
    <t>Unpatched system</t>
  </si>
  <si>
    <t>R003</t>
  </si>
  <si>
    <t>Data Leakage</t>
  </si>
  <si>
    <t>Improper access control</t>
  </si>
  <si>
    <t>R004</t>
  </si>
  <si>
    <t>Unauthorized Access</t>
  </si>
  <si>
    <t>Weak authentication</t>
  </si>
  <si>
    <t>R005</t>
  </si>
  <si>
    <t>Tool Failure</t>
  </si>
  <si>
    <t>Misconfiguration</t>
  </si>
  <si>
    <t>R006</t>
  </si>
  <si>
    <t>Device Theft</t>
  </si>
  <si>
    <t>No physical security</t>
  </si>
  <si>
    <t>R007</t>
  </si>
  <si>
    <t>Service Downtime</t>
  </si>
  <si>
    <t>Dependency on provider</t>
  </si>
  <si>
    <t>R008</t>
  </si>
  <si>
    <t>Pen Testing Toolkit</t>
  </si>
  <si>
    <t>Unauthorized Use</t>
  </si>
  <si>
    <t>Lack of access control</t>
  </si>
  <si>
    <t>R009</t>
  </si>
  <si>
    <t>Log Tampering</t>
  </si>
  <si>
    <t>No integrity checks</t>
  </si>
  <si>
    <t>R010</t>
  </si>
  <si>
    <t>Project Mgmt Tool</t>
  </si>
  <si>
    <t>Data Loss</t>
  </si>
  <si>
    <t>No backup</t>
  </si>
  <si>
    <t>R011</t>
  </si>
  <si>
    <t>Data Breach</t>
  </si>
  <si>
    <t>Weak access control</t>
  </si>
  <si>
    <t>R012</t>
  </si>
  <si>
    <t>System Failure</t>
  </si>
  <si>
    <t>No redundancy</t>
  </si>
  <si>
    <t>R013</t>
  </si>
  <si>
    <t>CRM System</t>
  </si>
  <si>
    <t>Misconfigured permissions</t>
  </si>
  <si>
    <t>R014</t>
  </si>
  <si>
    <t>Support System</t>
  </si>
  <si>
    <t>Weak credentials</t>
  </si>
  <si>
    <t>R015</t>
  </si>
  <si>
    <t>Data Manipulation</t>
  </si>
  <si>
    <t>No access restriction</t>
  </si>
  <si>
    <t>R016</t>
  </si>
  <si>
    <t>Compliance Docs</t>
  </si>
  <si>
    <t>R017</t>
  </si>
  <si>
    <t>Data Exposure</t>
  </si>
  <si>
    <t>Improper storage</t>
  </si>
  <si>
    <t>R018</t>
  </si>
  <si>
    <t>System Downtime</t>
  </si>
  <si>
    <t>Server issues</t>
  </si>
  <si>
    <t>R019</t>
  </si>
  <si>
    <t>Data Error</t>
  </si>
  <si>
    <t>Manual handling</t>
  </si>
  <si>
    <t>R020</t>
  </si>
  <si>
    <t>Tracking Sheet</t>
  </si>
  <si>
    <t>No version control</t>
  </si>
  <si>
    <t>Risk Description</t>
  </si>
  <si>
    <t>Impact</t>
  </si>
  <si>
    <t>Likelihood</t>
  </si>
  <si>
    <t>Risk Treatment</t>
  </si>
  <si>
    <t>Risk of data theft due to weak password</t>
  </si>
  <si>
    <t>Strong password policy with MFA enforcement</t>
  </si>
  <si>
    <t>Mitigate</t>
  </si>
  <si>
    <t>Risk of malware attack due to unpatched system</t>
  </si>
  <si>
    <t>Antivirus protection and regular patch updates</t>
  </si>
  <si>
    <t>Risk of data leakage due to improper access control</t>
  </si>
  <si>
    <t>Role-based access control implementation</t>
  </si>
  <si>
    <t>Risk of unauthorized access due to weak authentication</t>
  </si>
  <si>
    <t>Encryption and multi-factor authentication</t>
  </si>
  <si>
    <t>Risk of failure due to misconfiguration</t>
  </si>
  <si>
    <t>Regular configuration review and validation</t>
  </si>
  <si>
    <t>Risk of device theft due to lack of physical security</t>
  </si>
  <si>
    <t>Device lock, asset tagging, and tracking</t>
  </si>
  <si>
    <t>Risk of downtime due to dependency on provider</t>
  </si>
  <si>
    <t>Backup systems and SLA agreements</t>
  </si>
  <si>
    <t>Transfer</t>
  </si>
  <si>
    <t>Risk of unauthorized use due to lack of access control</t>
  </si>
  <si>
    <t>Restricted access with role-based permissions</t>
  </si>
  <si>
    <t>Risk of log tampering due to lack of integrity checks</t>
  </si>
  <si>
    <t>Log monitoring with hashing and integrity validation</t>
  </si>
  <si>
    <t>Risk of data loss due to lack of backup</t>
  </si>
  <si>
    <t>Regular automated backups with recovery testing</t>
  </si>
  <si>
    <t>Risk of data breach due to weak access control</t>
  </si>
  <si>
    <t>Encryption and strict access control policies</t>
  </si>
  <si>
    <t>Risk of system failure due to lack of redundancy</t>
  </si>
  <si>
    <t>Failover systems and redundancy implementation</t>
  </si>
  <si>
    <t>Risk of data leakage due to misconfigured permissions</t>
  </si>
  <si>
    <t>Access control review and permission management</t>
  </si>
  <si>
    <t>Risk of unauthorized access due to weak credentials</t>
  </si>
  <si>
    <t>Strong password enforcement and access control</t>
  </si>
  <si>
    <t>Risk of data manipulation due to lack of access restriction</t>
  </si>
  <si>
    <t>Restricted access and audit logging</t>
  </si>
  <si>
    <t>Regular automated backup and secure storage</t>
  </si>
  <si>
    <t>Risk of data exposure due to improper storage</t>
  </si>
  <si>
    <t>Secure storage with restricted access controls</t>
  </si>
  <si>
    <t>Risk of downtime due to server issues</t>
  </si>
  <si>
    <t>Real-time monitoring and alerting system</t>
  </si>
  <si>
    <t>Risk of data errors due to manual handling</t>
  </si>
  <si>
    <t>Data validation and review checks</t>
  </si>
  <si>
    <t>Accept</t>
  </si>
  <si>
    <t>Risk of data loss due to lack of version control</t>
  </si>
  <si>
    <t>Version control system and backups</t>
  </si>
  <si>
    <t>RISK REGISTER</t>
  </si>
  <si>
    <t xml:space="preserve">ASSET REGISTER </t>
  </si>
  <si>
    <t>Confidentiality</t>
  </si>
  <si>
    <t>Integrity</t>
  </si>
  <si>
    <t>Availability</t>
  </si>
  <si>
    <t>Impact ↓ / Likelihood →</t>
  </si>
  <si>
    <t>5 (Very High)</t>
  </si>
  <si>
    <t>4 (High)</t>
  </si>
  <si>
    <t>Low</t>
  </si>
  <si>
    <t>3 (Moderate)</t>
  </si>
  <si>
    <t>2 (Low)</t>
  </si>
  <si>
    <t>1 (Very Low)</t>
  </si>
  <si>
    <t>Risk Matrix</t>
  </si>
  <si>
    <t>Score</t>
  </si>
  <si>
    <t>Level</t>
  </si>
  <si>
    <t>1–5</t>
  </si>
  <si>
    <t>6–10</t>
  </si>
  <si>
    <t>11–25</t>
  </si>
  <si>
    <t>Risk Evaluation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</si>
</sst>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mbria"/>
      <family val="1"/>
    </font>
    <font>
      <b/>
      <sz val="16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C5D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6C5D"/>
      <color rgb="FFFFE4E1"/>
      <color rgb="FFFFFFCC"/>
      <color rgb="FFFB1105"/>
      <color rgb="FFFF0000"/>
      <color rgb="FFFFFF00"/>
      <color rgb="FF33CC33"/>
      <color rgb="FFCC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0DA0-3CAE-4F5F-8E28-247249D242B4}">
  <dimension ref="A2:S25"/>
  <sheetViews>
    <sheetView tabSelected="1" zoomScale="60" zoomScaleNormal="60" workbookViewId="0">
      <selection activeCell="C8" sqref="C8"/>
    </sheetView>
  </sheetViews>
  <sheetFormatPr defaultRowHeight="26" x14ac:dyDescent="0.6"/>
  <cols>
    <col min="1" max="1" width="17.26953125" style="2" customWidth="1"/>
    <col min="2" max="2" width="34.1796875" style="3" customWidth="1"/>
    <col min="3" max="3" width="49.7265625" style="3" customWidth="1"/>
    <col min="4" max="4" width="35.26953125" style="3" customWidth="1"/>
    <col min="5" max="5" width="36.26953125" style="3" customWidth="1"/>
    <col min="6" max="6" width="33.90625" style="2" customWidth="1"/>
    <col min="7" max="7" width="27.08984375" style="2" customWidth="1"/>
    <col min="8" max="8" width="29.90625" style="5" customWidth="1"/>
    <col min="9" max="9" width="25.54296875" style="5" customWidth="1"/>
    <col min="10" max="10" width="26.6328125" style="5" customWidth="1"/>
    <col min="11" max="11" width="31.08984375" style="4" customWidth="1"/>
    <col min="12" max="12" width="25.26953125" style="5" customWidth="1"/>
    <col min="13" max="16384" width="8.7265625" style="2"/>
  </cols>
  <sheetData>
    <row r="2" spans="1:19" x14ac:dyDescent="0.6">
      <c r="A2" s="30" t="s">
        <v>229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9" x14ac:dyDescent="0.6">
      <c r="A3" s="11" t="s">
        <v>0</v>
      </c>
      <c r="B3" s="11" t="s">
        <v>1</v>
      </c>
      <c r="C3" s="11" t="s">
        <v>94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230</v>
      </c>
      <c r="I3" s="11" t="s">
        <v>231</v>
      </c>
      <c r="J3" s="11" t="s">
        <v>232</v>
      </c>
      <c r="K3" s="11" t="s">
        <v>6</v>
      </c>
      <c r="L3" s="11" t="s">
        <v>7</v>
      </c>
    </row>
    <row r="4" spans="1:19" ht="35" x14ac:dyDescent="0.6">
      <c r="A4" s="12" t="s">
        <v>8</v>
      </c>
      <c r="B4" s="12" t="s">
        <v>9</v>
      </c>
      <c r="C4" s="12" t="s">
        <v>95</v>
      </c>
      <c r="D4" s="12" t="s">
        <v>10</v>
      </c>
      <c r="E4" s="12" t="s">
        <v>11</v>
      </c>
      <c r="F4" s="12" t="s">
        <v>12</v>
      </c>
      <c r="G4" s="12" t="s">
        <v>13</v>
      </c>
      <c r="H4" s="13">
        <v>3</v>
      </c>
      <c r="I4" s="13">
        <v>3</v>
      </c>
      <c r="J4" s="13">
        <v>3</v>
      </c>
      <c r="K4" s="12" t="s">
        <v>14</v>
      </c>
      <c r="L4" s="12" t="s">
        <v>15</v>
      </c>
    </row>
    <row r="5" spans="1:19" x14ac:dyDescent="0.6">
      <c r="A5" s="12" t="s">
        <v>16</v>
      </c>
      <c r="B5" s="12" t="s">
        <v>17</v>
      </c>
      <c r="C5" s="12" t="s">
        <v>96</v>
      </c>
      <c r="D5" s="12" t="s">
        <v>10</v>
      </c>
      <c r="E5" s="12" t="s">
        <v>18</v>
      </c>
      <c r="F5" s="12" t="s">
        <v>19</v>
      </c>
      <c r="G5" s="12" t="s">
        <v>13</v>
      </c>
      <c r="H5" s="13">
        <v>3</v>
      </c>
      <c r="I5" s="13">
        <v>3</v>
      </c>
      <c r="J5" s="13">
        <v>3</v>
      </c>
      <c r="K5" s="12" t="s">
        <v>14</v>
      </c>
      <c r="L5" s="12" t="s">
        <v>15</v>
      </c>
      <c r="P5" s="7"/>
      <c r="Q5" s="7"/>
      <c r="R5" s="7"/>
      <c r="S5" s="7"/>
    </row>
    <row r="6" spans="1:19" ht="35" x14ac:dyDescent="0.6">
      <c r="A6" s="12" t="s">
        <v>20</v>
      </c>
      <c r="B6" s="12" t="s">
        <v>21</v>
      </c>
      <c r="C6" s="12" t="s">
        <v>97</v>
      </c>
      <c r="D6" s="12" t="s">
        <v>22</v>
      </c>
      <c r="E6" s="12" t="s">
        <v>23</v>
      </c>
      <c r="F6" s="12" t="s">
        <v>24</v>
      </c>
      <c r="G6" s="12" t="s">
        <v>25</v>
      </c>
      <c r="H6" s="13">
        <v>3</v>
      </c>
      <c r="I6" s="13">
        <v>3</v>
      </c>
      <c r="J6" s="13">
        <v>2</v>
      </c>
      <c r="K6" s="12" t="s">
        <v>26</v>
      </c>
      <c r="L6" s="12" t="s">
        <v>15</v>
      </c>
      <c r="P6" s="6"/>
    </row>
    <row r="7" spans="1:19" x14ac:dyDescent="0.6">
      <c r="A7" s="12" t="s">
        <v>27</v>
      </c>
      <c r="B7" s="12" t="s">
        <v>28</v>
      </c>
      <c r="C7" s="12" t="s">
        <v>98</v>
      </c>
      <c r="D7" s="12" t="s">
        <v>29</v>
      </c>
      <c r="E7" s="12" t="s">
        <v>30</v>
      </c>
      <c r="F7" s="12" t="s">
        <v>31</v>
      </c>
      <c r="G7" s="12" t="s">
        <v>32</v>
      </c>
      <c r="H7" s="13">
        <v>3</v>
      </c>
      <c r="I7" s="13">
        <v>3</v>
      </c>
      <c r="J7" s="13">
        <v>3</v>
      </c>
      <c r="K7" s="12" t="s">
        <v>14</v>
      </c>
      <c r="L7" s="12" t="s">
        <v>15</v>
      </c>
      <c r="P7" s="6"/>
    </row>
    <row r="8" spans="1:19" x14ac:dyDescent="0.6">
      <c r="A8" s="12" t="s">
        <v>33</v>
      </c>
      <c r="B8" s="12" t="s">
        <v>34</v>
      </c>
      <c r="C8" s="12" t="s">
        <v>99</v>
      </c>
      <c r="D8" s="12" t="s">
        <v>22</v>
      </c>
      <c r="E8" s="12" t="s">
        <v>35</v>
      </c>
      <c r="F8" s="12" t="s">
        <v>36</v>
      </c>
      <c r="G8" s="12" t="s">
        <v>37</v>
      </c>
      <c r="H8" s="13">
        <v>2</v>
      </c>
      <c r="I8" s="13">
        <v>3</v>
      </c>
      <c r="J8" s="13">
        <v>3</v>
      </c>
      <c r="K8" s="12" t="s">
        <v>26</v>
      </c>
      <c r="L8" s="12" t="s">
        <v>15</v>
      </c>
      <c r="P8" s="6"/>
    </row>
    <row r="9" spans="1:19" x14ac:dyDescent="0.6">
      <c r="A9" s="12" t="s">
        <v>38</v>
      </c>
      <c r="B9" s="12" t="s">
        <v>39</v>
      </c>
      <c r="C9" s="12" t="s">
        <v>100</v>
      </c>
      <c r="D9" s="12" t="s">
        <v>10</v>
      </c>
      <c r="E9" s="12" t="s">
        <v>40</v>
      </c>
      <c r="F9" s="12" t="s">
        <v>36</v>
      </c>
      <c r="G9" s="12" t="s">
        <v>41</v>
      </c>
      <c r="H9" s="13">
        <v>2</v>
      </c>
      <c r="I9" s="13">
        <v>2</v>
      </c>
      <c r="J9" s="13">
        <v>2</v>
      </c>
      <c r="K9" s="12" t="s">
        <v>42</v>
      </c>
      <c r="L9" s="12" t="s">
        <v>43</v>
      </c>
      <c r="P9" s="6"/>
    </row>
    <row r="10" spans="1:19" x14ac:dyDescent="0.6">
      <c r="A10" s="12" t="s">
        <v>44</v>
      </c>
      <c r="B10" s="12" t="s">
        <v>45</v>
      </c>
      <c r="C10" s="12" t="s">
        <v>101</v>
      </c>
      <c r="D10" s="12" t="s">
        <v>46</v>
      </c>
      <c r="E10" s="12" t="s">
        <v>47</v>
      </c>
      <c r="F10" s="12" t="s">
        <v>36</v>
      </c>
      <c r="G10" s="12" t="s">
        <v>25</v>
      </c>
      <c r="H10" s="13">
        <v>3</v>
      </c>
      <c r="I10" s="13">
        <v>3</v>
      </c>
      <c r="J10" s="13">
        <v>3</v>
      </c>
      <c r="K10" s="12" t="s">
        <v>14</v>
      </c>
      <c r="L10" s="12" t="s">
        <v>15</v>
      </c>
      <c r="P10" s="6"/>
    </row>
    <row r="11" spans="1:19" ht="35" x14ac:dyDescent="0.6">
      <c r="A11" s="12" t="s">
        <v>48</v>
      </c>
      <c r="B11" s="12" t="s">
        <v>49</v>
      </c>
      <c r="C11" s="12" t="s">
        <v>102</v>
      </c>
      <c r="D11" s="12" t="s">
        <v>22</v>
      </c>
      <c r="E11" s="12" t="s">
        <v>50</v>
      </c>
      <c r="F11" s="12" t="s">
        <v>36</v>
      </c>
      <c r="G11" s="12" t="s">
        <v>51</v>
      </c>
      <c r="H11" s="13">
        <v>3</v>
      </c>
      <c r="I11" s="13">
        <v>3</v>
      </c>
      <c r="J11" s="13">
        <v>2</v>
      </c>
      <c r="K11" s="12" t="s">
        <v>26</v>
      </c>
      <c r="L11" s="12" t="s">
        <v>15</v>
      </c>
      <c r="P11" s="6"/>
    </row>
    <row r="12" spans="1:19" x14ac:dyDescent="0.6">
      <c r="A12" s="12" t="s">
        <v>52</v>
      </c>
      <c r="B12" s="12" t="s">
        <v>53</v>
      </c>
      <c r="C12" s="12" t="s">
        <v>103</v>
      </c>
      <c r="D12" s="12" t="s">
        <v>29</v>
      </c>
      <c r="E12" s="12" t="s">
        <v>54</v>
      </c>
      <c r="F12" s="12" t="s">
        <v>36</v>
      </c>
      <c r="G12" s="12" t="s">
        <v>32</v>
      </c>
      <c r="H12" s="13">
        <v>3</v>
      </c>
      <c r="I12" s="13">
        <v>3</v>
      </c>
      <c r="J12" s="13">
        <v>2</v>
      </c>
      <c r="K12" s="12" t="s">
        <v>14</v>
      </c>
      <c r="L12" s="12" t="s">
        <v>15</v>
      </c>
      <c r="P12" s="6"/>
    </row>
    <row r="13" spans="1:19" x14ac:dyDescent="0.6">
      <c r="A13" s="12" t="s">
        <v>55</v>
      </c>
      <c r="B13" s="12" t="s">
        <v>56</v>
      </c>
      <c r="C13" s="12" t="s">
        <v>104</v>
      </c>
      <c r="D13" s="12" t="s">
        <v>22</v>
      </c>
      <c r="E13" s="12" t="s">
        <v>57</v>
      </c>
      <c r="F13" s="12" t="s">
        <v>58</v>
      </c>
      <c r="G13" s="12" t="s">
        <v>25</v>
      </c>
      <c r="H13" s="13">
        <v>2</v>
      </c>
      <c r="I13" s="13">
        <v>2</v>
      </c>
      <c r="J13" s="13">
        <v>3</v>
      </c>
      <c r="K13" s="12" t="s">
        <v>42</v>
      </c>
      <c r="L13" s="12" t="s">
        <v>43</v>
      </c>
      <c r="P13" s="6"/>
    </row>
    <row r="14" spans="1:19" x14ac:dyDescent="0.6">
      <c r="A14" s="12" t="s">
        <v>59</v>
      </c>
      <c r="B14" s="12" t="s">
        <v>60</v>
      </c>
      <c r="C14" s="12" t="s">
        <v>105</v>
      </c>
      <c r="D14" s="12" t="s">
        <v>29</v>
      </c>
      <c r="E14" s="12" t="s">
        <v>61</v>
      </c>
      <c r="F14" s="12" t="s">
        <v>58</v>
      </c>
      <c r="G14" s="12" t="s">
        <v>32</v>
      </c>
      <c r="H14" s="13">
        <v>3</v>
      </c>
      <c r="I14" s="13">
        <v>3</v>
      </c>
      <c r="J14" s="13">
        <v>3</v>
      </c>
      <c r="K14" s="12" t="s">
        <v>14</v>
      </c>
      <c r="L14" s="12" t="s">
        <v>15</v>
      </c>
      <c r="P14" s="6"/>
    </row>
    <row r="15" spans="1:19" ht="35" x14ac:dyDescent="0.6">
      <c r="A15" s="12" t="s">
        <v>62</v>
      </c>
      <c r="B15" s="12" t="s">
        <v>63</v>
      </c>
      <c r="C15" s="12" t="s">
        <v>106</v>
      </c>
      <c r="D15" s="12" t="s">
        <v>10</v>
      </c>
      <c r="E15" s="12" t="s">
        <v>64</v>
      </c>
      <c r="F15" s="12" t="s">
        <v>58</v>
      </c>
      <c r="G15" s="12" t="s">
        <v>65</v>
      </c>
      <c r="H15" s="13">
        <v>3</v>
      </c>
      <c r="I15" s="13">
        <v>3</v>
      </c>
      <c r="J15" s="13">
        <v>3</v>
      </c>
      <c r="K15" s="12" t="s">
        <v>14</v>
      </c>
      <c r="L15" s="12" t="s">
        <v>15</v>
      </c>
      <c r="P15" s="6"/>
    </row>
    <row r="16" spans="1:19" x14ac:dyDescent="0.6">
      <c r="A16" s="12" t="s">
        <v>66</v>
      </c>
      <c r="B16" s="12" t="s">
        <v>67</v>
      </c>
      <c r="C16" s="12" t="s">
        <v>107</v>
      </c>
      <c r="D16" s="12" t="s">
        <v>22</v>
      </c>
      <c r="E16" s="12" t="s">
        <v>68</v>
      </c>
      <c r="F16" s="12" t="s">
        <v>58</v>
      </c>
      <c r="G16" s="12" t="s">
        <v>25</v>
      </c>
      <c r="H16" s="13">
        <v>3</v>
      </c>
      <c r="I16" s="13">
        <v>3</v>
      </c>
      <c r="J16" s="13">
        <v>2</v>
      </c>
      <c r="K16" s="12" t="s">
        <v>26</v>
      </c>
      <c r="L16" s="12" t="s">
        <v>15</v>
      </c>
      <c r="P16" s="6"/>
    </row>
    <row r="17" spans="1:16" x14ac:dyDescent="0.6">
      <c r="A17" s="12" t="s">
        <v>69</v>
      </c>
      <c r="B17" s="12" t="s">
        <v>70</v>
      </c>
      <c r="C17" s="12" t="s">
        <v>108</v>
      </c>
      <c r="D17" s="12" t="s">
        <v>22</v>
      </c>
      <c r="E17" s="12" t="s">
        <v>71</v>
      </c>
      <c r="F17" s="12" t="s">
        <v>72</v>
      </c>
      <c r="G17" s="12" t="s">
        <v>25</v>
      </c>
      <c r="H17" s="13">
        <v>2</v>
      </c>
      <c r="I17" s="13">
        <v>2</v>
      </c>
      <c r="J17" s="13">
        <v>3</v>
      </c>
      <c r="K17" s="12" t="s">
        <v>42</v>
      </c>
      <c r="L17" s="12" t="s">
        <v>43</v>
      </c>
      <c r="P17" s="6"/>
    </row>
    <row r="18" spans="1:16" x14ac:dyDescent="0.6">
      <c r="A18" s="12" t="s">
        <v>73</v>
      </c>
      <c r="B18" s="12" t="s">
        <v>74</v>
      </c>
      <c r="C18" s="12" t="s">
        <v>109</v>
      </c>
      <c r="D18" s="12" t="s">
        <v>29</v>
      </c>
      <c r="E18" s="12" t="s">
        <v>75</v>
      </c>
      <c r="F18" s="12" t="s">
        <v>76</v>
      </c>
      <c r="G18" s="12" t="s">
        <v>32</v>
      </c>
      <c r="H18" s="13">
        <v>3</v>
      </c>
      <c r="I18" s="13">
        <v>3</v>
      </c>
      <c r="J18" s="13">
        <v>2</v>
      </c>
      <c r="K18" s="12" t="s">
        <v>26</v>
      </c>
      <c r="L18" s="12" t="s">
        <v>15</v>
      </c>
      <c r="P18" s="6"/>
    </row>
    <row r="19" spans="1:16" ht="35" x14ac:dyDescent="0.6">
      <c r="A19" s="12" t="s">
        <v>77</v>
      </c>
      <c r="B19" s="12" t="s">
        <v>78</v>
      </c>
      <c r="C19" s="12" t="s">
        <v>110</v>
      </c>
      <c r="D19" s="12" t="s">
        <v>29</v>
      </c>
      <c r="E19" s="12" t="s">
        <v>79</v>
      </c>
      <c r="F19" s="12" t="s">
        <v>76</v>
      </c>
      <c r="G19" s="12" t="s">
        <v>32</v>
      </c>
      <c r="H19" s="13">
        <v>3</v>
      </c>
      <c r="I19" s="13">
        <v>3</v>
      </c>
      <c r="J19" s="13">
        <v>2</v>
      </c>
      <c r="K19" s="12" t="s">
        <v>26</v>
      </c>
      <c r="L19" s="12" t="s">
        <v>15</v>
      </c>
      <c r="P19" s="6"/>
    </row>
    <row r="20" spans="1:16" x14ac:dyDescent="0.6">
      <c r="A20" s="12" t="s">
        <v>80</v>
      </c>
      <c r="B20" s="12" t="s">
        <v>81</v>
      </c>
      <c r="C20" s="12" t="s">
        <v>111</v>
      </c>
      <c r="D20" s="12" t="s">
        <v>29</v>
      </c>
      <c r="E20" s="12" t="s">
        <v>82</v>
      </c>
      <c r="F20" s="12" t="s">
        <v>76</v>
      </c>
      <c r="G20" s="12" t="s">
        <v>83</v>
      </c>
      <c r="H20" s="13">
        <v>3</v>
      </c>
      <c r="I20" s="13">
        <v>3</v>
      </c>
      <c r="J20" s="13">
        <v>2</v>
      </c>
      <c r="K20" s="12" t="s">
        <v>14</v>
      </c>
      <c r="L20" s="12" t="s">
        <v>15</v>
      </c>
      <c r="P20" s="6"/>
    </row>
    <row r="21" spans="1:16" ht="35" x14ac:dyDescent="0.6">
      <c r="A21" s="12" t="s">
        <v>84</v>
      </c>
      <c r="B21" s="12" t="s">
        <v>85</v>
      </c>
      <c r="C21" s="12" t="s">
        <v>112</v>
      </c>
      <c r="D21" s="12" t="s">
        <v>22</v>
      </c>
      <c r="E21" s="12" t="s">
        <v>86</v>
      </c>
      <c r="F21" s="12" t="s">
        <v>87</v>
      </c>
      <c r="G21" s="12" t="s">
        <v>25</v>
      </c>
      <c r="H21" s="13">
        <v>2</v>
      </c>
      <c r="I21" s="13">
        <v>2</v>
      </c>
      <c r="J21" s="13">
        <v>3</v>
      </c>
      <c r="K21" s="12" t="s">
        <v>42</v>
      </c>
      <c r="L21" s="12" t="s">
        <v>43</v>
      </c>
      <c r="P21" s="6"/>
    </row>
    <row r="22" spans="1:16" x14ac:dyDescent="0.6">
      <c r="A22" s="12" t="s">
        <v>88</v>
      </c>
      <c r="B22" s="12" t="s">
        <v>89</v>
      </c>
      <c r="C22" s="12" t="s">
        <v>113</v>
      </c>
      <c r="D22" s="12" t="s">
        <v>29</v>
      </c>
      <c r="E22" s="12" t="s">
        <v>90</v>
      </c>
      <c r="F22" s="12" t="s">
        <v>87</v>
      </c>
      <c r="G22" s="12" t="s">
        <v>32</v>
      </c>
      <c r="H22" s="13">
        <v>2</v>
      </c>
      <c r="I22" s="13">
        <v>2</v>
      </c>
      <c r="J22" s="13">
        <v>2</v>
      </c>
      <c r="K22" s="12" t="s">
        <v>42</v>
      </c>
      <c r="L22" s="12" t="s">
        <v>43</v>
      </c>
      <c r="P22" s="6"/>
    </row>
    <row r="23" spans="1:16" x14ac:dyDescent="0.6">
      <c r="A23" s="12" t="s">
        <v>91</v>
      </c>
      <c r="B23" s="12" t="s">
        <v>92</v>
      </c>
      <c r="C23" s="12" t="s">
        <v>114</v>
      </c>
      <c r="D23" s="12" t="s">
        <v>29</v>
      </c>
      <c r="E23" s="12" t="s">
        <v>93</v>
      </c>
      <c r="F23" s="12" t="s">
        <v>87</v>
      </c>
      <c r="G23" s="12" t="s">
        <v>25</v>
      </c>
      <c r="H23" s="13">
        <v>2</v>
      </c>
      <c r="I23" s="13">
        <v>2</v>
      </c>
      <c r="J23" s="13">
        <v>2</v>
      </c>
      <c r="K23" s="12" t="s">
        <v>42</v>
      </c>
      <c r="L23" s="12" t="s">
        <v>43</v>
      </c>
      <c r="P23" s="6"/>
    </row>
    <row r="24" spans="1:16" x14ac:dyDescent="0.6">
      <c r="P24" s="6"/>
    </row>
    <row r="25" spans="1:16" x14ac:dyDescent="0.6">
      <c r="P25" s="6"/>
    </row>
  </sheetData>
  <mergeCells count="1">
    <mergeCell ref="A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A591-5063-4180-BB26-1FEC5584E8AE}">
  <dimension ref="A2:M43"/>
  <sheetViews>
    <sheetView zoomScale="49" workbookViewId="0">
      <selection activeCell="D28" sqref="D28:I28"/>
    </sheetView>
  </sheetViews>
  <sheetFormatPr defaultRowHeight="14.5" x14ac:dyDescent="0.35"/>
  <cols>
    <col min="1" max="2" width="14.90625" customWidth="1"/>
    <col min="3" max="3" width="15.90625" customWidth="1"/>
    <col min="4" max="4" width="39" customWidth="1"/>
    <col min="5" max="5" width="37.54296875" customWidth="1"/>
    <col min="6" max="6" width="22" style="1" customWidth="1"/>
    <col min="7" max="7" width="23.7265625" style="1" customWidth="1"/>
    <col min="8" max="8" width="14.1796875" style="1" customWidth="1"/>
    <col min="9" max="9" width="15.90625" style="1" customWidth="1"/>
    <col min="10" max="10" width="13.08984375" style="1" customWidth="1"/>
    <col min="11" max="11" width="17" style="1" customWidth="1"/>
    <col min="12" max="12" width="34.36328125" customWidth="1"/>
    <col min="13" max="13" width="20.54296875" style="1" customWidth="1"/>
  </cols>
  <sheetData>
    <row r="2" spans="1:13" ht="20" x14ac:dyDescent="0.4">
      <c r="A2" s="32" t="s">
        <v>228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40" x14ac:dyDescent="0.35">
      <c r="A3" s="8" t="s">
        <v>115</v>
      </c>
      <c r="B3" s="8"/>
      <c r="C3" s="8" t="s">
        <v>0</v>
      </c>
      <c r="D3" s="8" t="s">
        <v>1</v>
      </c>
      <c r="E3" s="8" t="s">
        <v>182</v>
      </c>
      <c r="F3" s="8" t="s">
        <v>116</v>
      </c>
      <c r="G3" s="8" t="s">
        <v>117</v>
      </c>
      <c r="H3" s="8" t="s">
        <v>183</v>
      </c>
      <c r="I3" s="8" t="s">
        <v>184</v>
      </c>
      <c r="J3" s="8" t="s">
        <v>118</v>
      </c>
      <c r="K3" s="8" t="s">
        <v>119</v>
      </c>
      <c r="L3" s="8" t="s">
        <v>120</v>
      </c>
      <c r="M3" s="8" t="s">
        <v>185</v>
      </c>
    </row>
    <row r="4" spans="1:13" ht="40" x14ac:dyDescent="0.35">
      <c r="A4" s="9" t="s">
        <v>121</v>
      </c>
      <c r="B4" s="9"/>
      <c r="C4" s="9" t="s">
        <v>8</v>
      </c>
      <c r="D4" s="9" t="s">
        <v>9</v>
      </c>
      <c r="E4" s="9" t="s">
        <v>186</v>
      </c>
      <c r="F4" s="10" t="s">
        <v>122</v>
      </c>
      <c r="G4" s="9" t="s">
        <v>123</v>
      </c>
      <c r="H4" s="10">
        <v>5</v>
      </c>
      <c r="I4" s="10">
        <v>4</v>
      </c>
      <c r="J4" s="10">
        <f>H4*I4</f>
        <v>20</v>
      </c>
      <c r="K4" s="10" t="str">
        <f>IF(J4&lt;=5,"Low",IF(J4&lt;=10,"Medium","High"))</f>
        <v>High</v>
      </c>
      <c r="L4" s="9" t="s">
        <v>187</v>
      </c>
      <c r="M4" s="10" t="s">
        <v>188</v>
      </c>
    </row>
    <row r="5" spans="1:13" ht="40" x14ac:dyDescent="0.35">
      <c r="A5" s="9" t="s">
        <v>124</v>
      </c>
      <c r="B5" s="9"/>
      <c r="C5" s="9" t="s">
        <v>16</v>
      </c>
      <c r="D5" s="9" t="s">
        <v>17</v>
      </c>
      <c r="E5" s="9" t="s">
        <v>189</v>
      </c>
      <c r="F5" s="10" t="s">
        <v>125</v>
      </c>
      <c r="G5" s="9" t="s">
        <v>126</v>
      </c>
      <c r="H5" s="10">
        <v>5</v>
      </c>
      <c r="I5" s="10">
        <v>3</v>
      </c>
      <c r="J5" s="10">
        <f t="shared" ref="J5:J23" si="0">H5*I5</f>
        <v>15</v>
      </c>
      <c r="K5" s="10" t="str">
        <f t="shared" ref="K5:K23" si="1">IF(J5&lt;=5,"Low",IF(J5&lt;=10,"Medium","High"))</f>
        <v>High</v>
      </c>
      <c r="L5" s="9" t="s">
        <v>190</v>
      </c>
      <c r="M5" s="10" t="s">
        <v>188</v>
      </c>
    </row>
    <row r="6" spans="1:13" ht="40" x14ac:dyDescent="0.35">
      <c r="A6" s="9" t="s">
        <v>127</v>
      </c>
      <c r="B6" s="9"/>
      <c r="C6" s="9" t="s">
        <v>20</v>
      </c>
      <c r="D6" s="9" t="s">
        <v>21</v>
      </c>
      <c r="E6" s="9" t="s">
        <v>191</v>
      </c>
      <c r="F6" s="10" t="s">
        <v>128</v>
      </c>
      <c r="G6" s="9" t="s">
        <v>129</v>
      </c>
      <c r="H6" s="10">
        <v>4</v>
      </c>
      <c r="I6" s="10">
        <v>3</v>
      </c>
      <c r="J6" s="10">
        <f t="shared" si="0"/>
        <v>12</v>
      </c>
      <c r="K6" s="10" t="str">
        <f t="shared" si="1"/>
        <v>High</v>
      </c>
      <c r="L6" s="9" t="s">
        <v>192</v>
      </c>
      <c r="M6" s="10" t="s">
        <v>188</v>
      </c>
    </row>
    <row r="7" spans="1:13" ht="40" x14ac:dyDescent="0.35">
      <c r="A7" s="9" t="s">
        <v>130</v>
      </c>
      <c r="B7" s="9"/>
      <c r="C7" s="9" t="s">
        <v>27</v>
      </c>
      <c r="D7" s="9" t="s">
        <v>28</v>
      </c>
      <c r="E7" s="9" t="s">
        <v>193</v>
      </c>
      <c r="F7" s="10" t="s">
        <v>131</v>
      </c>
      <c r="G7" s="9" t="s">
        <v>132</v>
      </c>
      <c r="H7" s="10">
        <v>5</v>
      </c>
      <c r="I7" s="10">
        <v>4</v>
      </c>
      <c r="J7" s="10">
        <f t="shared" si="0"/>
        <v>20</v>
      </c>
      <c r="K7" s="10" t="str">
        <f t="shared" si="1"/>
        <v>High</v>
      </c>
      <c r="L7" s="9" t="s">
        <v>194</v>
      </c>
      <c r="M7" s="10" t="s">
        <v>188</v>
      </c>
    </row>
    <row r="8" spans="1:13" ht="40" x14ac:dyDescent="0.35">
      <c r="A8" s="9" t="s">
        <v>133</v>
      </c>
      <c r="B8" s="9"/>
      <c r="C8" s="9" t="s">
        <v>33</v>
      </c>
      <c r="D8" s="9" t="s">
        <v>34</v>
      </c>
      <c r="E8" s="9" t="s">
        <v>195</v>
      </c>
      <c r="F8" s="10" t="s">
        <v>134</v>
      </c>
      <c r="G8" s="9" t="s">
        <v>135</v>
      </c>
      <c r="H8" s="10">
        <v>4</v>
      </c>
      <c r="I8" s="10">
        <v>3</v>
      </c>
      <c r="J8" s="10">
        <f t="shared" si="0"/>
        <v>12</v>
      </c>
      <c r="K8" s="10" t="str">
        <f t="shared" si="1"/>
        <v>High</v>
      </c>
      <c r="L8" s="9" t="s">
        <v>196</v>
      </c>
      <c r="M8" s="10" t="s">
        <v>188</v>
      </c>
    </row>
    <row r="9" spans="1:13" ht="40" x14ac:dyDescent="0.35">
      <c r="A9" s="9" t="s">
        <v>136</v>
      </c>
      <c r="B9" s="9"/>
      <c r="C9" s="9" t="s">
        <v>38</v>
      </c>
      <c r="D9" s="9" t="s">
        <v>39</v>
      </c>
      <c r="E9" s="9" t="s">
        <v>197</v>
      </c>
      <c r="F9" s="10" t="s">
        <v>137</v>
      </c>
      <c r="G9" s="9" t="s">
        <v>138</v>
      </c>
      <c r="H9" s="10">
        <v>3</v>
      </c>
      <c r="I9" s="10">
        <v>3</v>
      </c>
      <c r="J9" s="10">
        <f t="shared" si="0"/>
        <v>9</v>
      </c>
      <c r="K9" s="10" t="str">
        <f t="shared" si="1"/>
        <v>Medium</v>
      </c>
      <c r="L9" s="9" t="s">
        <v>198</v>
      </c>
      <c r="M9" s="10" t="s">
        <v>188</v>
      </c>
    </row>
    <row r="10" spans="1:13" ht="40" x14ac:dyDescent="0.35">
      <c r="A10" s="9" t="s">
        <v>139</v>
      </c>
      <c r="B10" s="9"/>
      <c r="C10" s="9" t="s">
        <v>44</v>
      </c>
      <c r="D10" s="9" t="s">
        <v>45</v>
      </c>
      <c r="E10" s="9" t="s">
        <v>199</v>
      </c>
      <c r="F10" s="10" t="s">
        <v>140</v>
      </c>
      <c r="G10" s="9" t="s">
        <v>141</v>
      </c>
      <c r="H10" s="10">
        <v>5</v>
      </c>
      <c r="I10" s="10">
        <v>3</v>
      </c>
      <c r="J10" s="10">
        <f t="shared" si="0"/>
        <v>15</v>
      </c>
      <c r="K10" s="10" t="str">
        <f t="shared" si="1"/>
        <v>High</v>
      </c>
      <c r="L10" s="9" t="s">
        <v>200</v>
      </c>
      <c r="M10" s="10" t="s">
        <v>201</v>
      </c>
    </row>
    <row r="11" spans="1:13" ht="40" x14ac:dyDescent="0.35">
      <c r="A11" s="9" t="s">
        <v>142</v>
      </c>
      <c r="B11" s="9"/>
      <c r="C11" s="9" t="s">
        <v>48</v>
      </c>
      <c r="D11" s="9" t="s">
        <v>143</v>
      </c>
      <c r="E11" s="9" t="s">
        <v>202</v>
      </c>
      <c r="F11" s="10" t="s">
        <v>144</v>
      </c>
      <c r="G11" s="9" t="s">
        <v>145</v>
      </c>
      <c r="H11" s="10">
        <v>4</v>
      </c>
      <c r="I11" s="10">
        <v>2</v>
      </c>
      <c r="J11" s="10">
        <f t="shared" si="0"/>
        <v>8</v>
      </c>
      <c r="K11" s="10" t="str">
        <f t="shared" si="1"/>
        <v>Medium</v>
      </c>
      <c r="L11" s="9" t="s">
        <v>203</v>
      </c>
      <c r="M11" s="10" t="s">
        <v>188</v>
      </c>
    </row>
    <row r="12" spans="1:13" ht="60" x14ac:dyDescent="0.35">
      <c r="A12" s="9" t="s">
        <v>146</v>
      </c>
      <c r="B12" s="9"/>
      <c r="C12" s="9" t="s">
        <v>52</v>
      </c>
      <c r="D12" s="9" t="s">
        <v>53</v>
      </c>
      <c r="E12" s="9" t="s">
        <v>204</v>
      </c>
      <c r="F12" s="10" t="s">
        <v>147</v>
      </c>
      <c r="G12" s="9" t="s">
        <v>148</v>
      </c>
      <c r="H12" s="10">
        <v>4</v>
      </c>
      <c r="I12" s="10">
        <v>3</v>
      </c>
      <c r="J12" s="10">
        <f t="shared" si="0"/>
        <v>12</v>
      </c>
      <c r="K12" s="10" t="str">
        <f t="shared" si="1"/>
        <v>High</v>
      </c>
      <c r="L12" s="9" t="s">
        <v>205</v>
      </c>
      <c r="M12" s="10" t="s">
        <v>188</v>
      </c>
    </row>
    <row r="13" spans="1:13" ht="60" x14ac:dyDescent="0.35">
      <c r="A13" s="9" t="s">
        <v>149</v>
      </c>
      <c r="B13" s="9"/>
      <c r="C13" s="9" t="s">
        <v>55</v>
      </c>
      <c r="D13" s="9" t="s">
        <v>150</v>
      </c>
      <c r="E13" s="9" t="s">
        <v>206</v>
      </c>
      <c r="F13" s="10" t="s">
        <v>151</v>
      </c>
      <c r="G13" s="9" t="s">
        <v>152</v>
      </c>
      <c r="H13" s="10">
        <v>3</v>
      </c>
      <c r="I13" s="10">
        <v>3</v>
      </c>
      <c r="J13" s="10">
        <f t="shared" si="0"/>
        <v>9</v>
      </c>
      <c r="K13" s="10" t="str">
        <f t="shared" si="1"/>
        <v>Medium</v>
      </c>
      <c r="L13" s="9" t="s">
        <v>207</v>
      </c>
      <c r="M13" s="10" t="s">
        <v>188</v>
      </c>
    </row>
    <row r="14" spans="1:13" ht="40" x14ac:dyDescent="0.35">
      <c r="A14" s="9" t="s">
        <v>153</v>
      </c>
      <c r="B14" s="9"/>
      <c r="C14" s="9" t="s">
        <v>59</v>
      </c>
      <c r="D14" s="9" t="s">
        <v>60</v>
      </c>
      <c r="E14" s="9" t="s">
        <v>208</v>
      </c>
      <c r="F14" s="10" t="s">
        <v>154</v>
      </c>
      <c r="G14" s="9" t="s">
        <v>155</v>
      </c>
      <c r="H14" s="10">
        <v>5</v>
      </c>
      <c r="I14" s="10">
        <v>4</v>
      </c>
      <c r="J14" s="10">
        <f t="shared" si="0"/>
        <v>20</v>
      </c>
      <c r="K14" s="10" t="str">
        <f t="shared" si="1"/>
        <v>High</v>
      </c>
      <c r="L14" s="9" t="s">
        <v>209</v>
      </c>
      <c r="M14" s="10" t="s">
        <v>188</v>
      </c>
    </row>
    <row r="15" spans="1:13" ht="60" x14ac:dyDescent="0.35">
      <c r="A15" s="9" t="s">
        <v>156</v>
      </c>
      <c r="B15" s="9"/>
      <c r="C15" s="9" t="s">
        <v>62</v>
      </c>
      <c r="D15" s="9" t="s">
        <v>63</v>
      </c>
      <c r="E15" s="9" t="s">
        <v>210</v>
      </c>
      <c r="F15" s="10" t="s">
        <v>157</v>
      </c>
      <c r="G15" s="9" t="s">
        <v>158</v>
      </c>
      <c r="H15" s="10">
        <v>5</v>
      </c>
      <c r="I15" s="10">
        <v>3</v>
      </c>
      <c r="J15" s="10">
        <f>H15*I15</f>
        <v>15</v>
      </c>
      <c r="K15" s="10" t="str">
        <f t="shared" si="1"/>
        <v>High</v>
      </c>
      <c r="L15" s="9" t="s">
        <v>211</v>
      </c>
      <c r="M15" s="10" t="s">
        <v>188</v>
      </c>
    </row>
    <row r="16" spans="1:13" ht="40" x14ac:dyDescent="0.35">
      <c r="A16" s="9" t="s">
        <v>159</v>
      </c>
      <c r="B16" s="9"/>
      <c r="C16" s="9" t="s">
        <v>66</v>
      </c>
      <c r="D16" s="9" t="s">
        <v>160</v>
      </c>
      <c r="E16" s="9" t="s">
        <v>212</v>
      </c>
      <c r="F16" s="10" t="s">
        <v>128</v>
      </c>
      <c r="G16" s="9" t="s">
        <v>161</v>
      </c>
      <c r="H16" s="10">
        <v>4</v>
      </c>
      <c r="I16" s="10">
        <v>3</v>
      </c>
      <c r="J16" s="10">
        <f t="shared" si="0"/>
        <v>12</v>
      </c>
      <c r="K16" s="10" t="str">
        <f t="shared" si="1"/>
        <v>High</v>
      </c>
      <c r="L16" s="9" t="s">
        <v>213</v>
      </c>
      <c r="M16" s="10" t="s">
        <v>188</v>
      </c>
    </row>
    <row r="17" spans="1:13" ht="60" x14ac:dyDescent="0.35">
      <c r="A17" s="9" t="s">
        <v>162</v>
      </c>
      <c r="B17" s="9"/>
      <c r="C17" s="9" t="s">
        <v>69</v>
      </c>
      <c r="D17" s="9" t="s">
        <v>163</v>
      </c>
      <c r="E17" s="9" t="s">
        <v>214</v>
      </c>
      <c r="F17" s="10" t="s">
        <v>131</v>
      </c>
      <c r="G17" s="9" t="s">
        <v>164</v>
      </c>
      <c r="H17" s="10">
        <v>3</v>
      </c>
      <c r="I17" s="10">
        <v>3</v>
      </c>
      <c r="J17" s="10">
        <f t="shared" si="0"/>
        <v>9</v>
      </c>
      <c r="K17" s="10" t="str">
        <f t="shared" si="1"/>
        <v>Medium</v>
      </c>
      <c r="L17" s="9" t="s">
        <v>215</v>
      </c>
      <c r="M17" s="10" t="s">
        <v>188</v>
      </c>
    </row>
    <row r="18" spans="1:13" ht="60" x14ac:dyDescent="0.35">
      <c r="A18" s="9" t="s">
        <v>165</v>
      </c>
      <c r="B18" s="9"/>
      <c r="C18" s="9" t="s">
        <v>73</v>
      </c>
      <c r="D18" s="9" t="s">
        <v>74</v>
      </c>
      <c r="E18" s="9" t="s">
        <v>216</v>
      </c>
      <c r="F18" s="10" t="s">
        <v>166</v>
      </c>
      <c r="G18" s="9" t="s">
        <v>167</v>
      </c>
      <c r="H18" s="10">
        <v>4</v>
      </c>
      <c r="I18" s="10">
        <v>2</v>
      </c>
      <c r="J18" s="10">
        <f t="shared" si="0"/>
        <v>8</v>
      </c>
      <c r="K18" s="10" t="str">
        <f t="shared" si="1"/>
        <v>Medium</v>
      </c>
      <c r="L18" s="9" t="s">
        <v>217</v>
      </c>
      <c r="M18" s="10" t="s">
        <v>188</v>
      </c>
    </row>
    <row r="19" spans="1:13" ht="60" x14ac:dyDescent="0.35">
      <c r="A19" s="9" t="s">
        <v>168</v>
      </c>
      <c r="B19" s="9"/>
      <c r="C19" s="9" t="s">
        <v>77</v>
      </c>
      <c r="D19" s="9" t="s">
        <v>169</v>
      </c>
      <c r="E19" s="9" t="s">
        <v>206</v>
      </c>
      <c r="F19" s="10" t="s">
        <v>151</v>
      </c>
      <c r="G19" s="9" t="s">
        <v>152</v>
      </c>
      <c r="H19" s="10">
        <v>4</v>
      </c>
      <c r="I19" s="10">
        <v>3</v>
      </c>
      <c r="J19" s="10">
        <f t="shared" si="0"/>
        <v>12</v>
      </c>
      <c r="K19" s="10" t="str">
        <f t="shared" si="1"/>
        <v>High</v>
      </c>
      <c r="L19" s="9" t="s">
        <v>218</v>
      </c>
      <c r="M19" s="10" t="s">
        <v>188</v>
      </c>
    </row>
    <row r="20" spans="1:13" ht="40" x14ac:dyDescent="0.35">
      <c r="A20" s="9" t="s">
        <v>170</v>
      </c>
      <c r="B20" s="9"/>
      <c r="C20" s="9" t="s">
        <v>80</v>
      </c>
      <c r="D20" s="9" t="s">
        <v>81</v>
      </c>
      <c r="E20" s="9" t="s">
        <v>219</v>
      </c>
      <c r="F20" s="10" t="s">
        <v>171</v>
      </c>
      <c r="G20" s="9" t="s">
        <v>172</v>
      </c>
      <c r="H20" s="10">
        <v>5</v>
      </c>
      <c r="I20" s="10">
        <v>2</v>
      </c>
      <c r="J20" s="10">
        <f t="shared" si="0"/>
        <v>10</v>
      </c>
      <c r="K20" s="10" t="str">
        <f>IF(J20&lt;=5,"Low",IF(J20&lt;=10,"Medium","High"))</f>
        <v>Medium</v>
      </c>
      <c r="L20" s="9" t="s">
        <v>220</v>
      </c>
      <c r="M20" s="10" t="s">
        <v>188</v>
      </c>
    </row>
    <row r="21" spans="1:13" ht="40" customHeight="1" x14ac:dyDescent="0.35">
      <c r="A21" s="9" t="s">
        <v>173</v>
      </c>
      <c r="B21" s="9"/>
      <c r="C21" s="9" t="s">
        <v>84</v>
      </c>
      <c r="D21" s="9" t="s">
        <v>85</v>
      </c>
      <c r="E21" s="9" t="s">
        <v>221</v>
      </c>
      <c r="F21" s="10" t="s">
        <v>174</v>
      </c>
      <c r="G21" s="9" t="s">
        <v>175</v>
      </c>
      <c r="H21" s="10">
        <v>3</v>
      </c>
      <c r="I21" s="10">
        <v>3</v>
      </c>
      <c r="J21" s="10">
        <f t="shared" si="0"/>
        <v>9</v>
      </c>
      <c r="K21" s="10" t="str">
        <f t="shared" si="1"/>
        <v>Medium</v>
      </c>
      <c r="L21" s="9" t="s">
        <v>222</v>
      </c>
      <c r="M21" s="10" t="s">
        <v>188</v>
      </c>
    </row>
    <row r="22" spans="1:13" ht="48" customHeight="1" x14ac:dyDescent="0.35">
      <c r="A22" s="9" t="s">
        <v>176</v>
      </c>
      <c r="B22" s="9"/>
      <c r="C22" s="9" t="s">
        <v>88</v>
      </c>
      <c r="D22" s="9" t="s">
        <v>89</v>
      </c>
      <c r="E22" s="9" t="s">
        <v>223</v>
      </c>
      <c r="F22" s="10" t="s">
        <v>177</v>
      </c>
      <c r="G22" s="9" t="s">
        <v>178</v>
      </c>
      <c r="H22" s="10">
        <v>3</v>
      </c>
      <c r="I22" s="10">
        <v>2</v>
      </c>
      <c r="J22" s="10">
        <f t="shared" si="0"/>
        <v>6</v>
      </c>
      <c r="K22" s="10" t="str">
        <f t="shared" si="1"/>
        <v>Medium</v>
      </c>
      <c r="L22" s="9" t="s">
        <v>224</v>
      </c>
      <c r="M22" s="10" t="s">
        <v>225</v>
      </c>
    </row>
    <row r="23" spans="1:13" ht="40" x14ac:dyDescent="0.35">
      <c r="A23" s="9" t="s">
        <v>179</v>
      </c>
      <c r="B23" s="9"/>
      <c r="C23" s="9" t="s">
        <v>91</v>
      </c>
      <c r="D23" s="9" t="s">
        <v>180</v>
      </c>
      <c r="E23" s="9" t="s">
        <v>226</v>
      </c>
      <c r="F23" s="10" t="s">
        <v>151</v>
      </c>
      <c r="G23" s="9" t="s">
        <v>181</v>
      </c>
      <c r="H23" s="10">
        <v>3</v>
      </c>
      <c r="I23" s="10">
        <v>2</v>
      </c>
      <c r="J23" s="10">
        <f t="shared" si="0"/>
        <v>6</v>
      </c>
      <c r="K23" s="10" t="str">
        <f t="shared" si="1"/>
        <v>Medium</v>
      </c>
      <c r="L23" s="9" t="s">
        <v>227</v>
      </c>
      <c r="M23" s="10" t="s">
        <v>225</v>
      </c>
    </row>
    <row r="27" spans="1:13" ht="15" thickBot="1" x14ac:dyDescent="0.4">
      <c r="G27" s="17"/>
    </row>
    <row r="28" spans="1:13" ht="24" thickBot="1" x14ac:dyDescent="0.6">
      <c r="D28" s="33" t="s">
        <v>240</v>
      </c>
      <c r="E28" s="33"/>
      <c r="F28" s="33"/>
      <c r="G28" s="33"/>
      <c r="H28" s="33"/>
      <c r="I28" s="33"/>
    </row>
    <row r="29" spans="1:13" ht="21.5" thickBot="1" x14ac:dyDescent="0.4">
      <c r="D29" s="20" t="s">
        <v>233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</row>
    <row r="30" spans="1:13" ht="19" thickBot="1" x14ac:dyDescent="0.4">
      <c r="D30" s="21" t="s">
        <v>234</v>
      </c>
      <c r="E30" s="22" t="s">
        <v>236</v>
      </c>
      <c r="F30" s="24" t="s">
        <v>15</v>
      </c>
      <c r="G30" s="24" t="s">
        <v>15</v>
      </c>
      <c r="H30" s="24" t="s">
        <v>15</v>
      </c>
      <c r="I30" s="24" t="s">
        <v>15</v>
      </c>
    </row>
    <row r="31" spans="1:13" ht="19" thickBot="1" x14ac:dyDescent="0.4">
      <c r="D31" s="21" t="s">
        <v>235</v>
      </c>
      <c r="E31" s="22" t="s">
        <v>236</v>
      </c>
      <c r="F31" s="23" t="s">
        <v>43</v>
      </c>
      <c r="G31" s="24" t="s">
        <v>15</v>
      </c>
      <c r="H31" s="24" t="s">
        <v>15</v>
      </c>
      <c r="I31" s="24" t="s">
        <v>15</v>
      </c>
    </row>
    <row r="32" spans="1:13" ht="19" thickBot="1" x14ac:dyDescent="0.4">
      <c r="D32" s="21" t="s">
        <v>237</v>
      </c>
      <c r="E32" s="22" t="s">
        <v>236</v>
      </c>
      <c r="F32" s="23" t="s">
        <v>43</v>
      </c>
      <c r="G32" s="23" t="s">
        <v>43</v>
      </c>
      <c r="H32" s="24" t="s">
        <v>15</v>
      </c>
      <c r="I32" s="24" t="s">
        <v>15</v>
      </c>
    </row>
    <row r="33" spans="3:9" ht="19" thickBot="1" x14ac:dyDescent="0.4">
      <c r="D33" s="21" t="s">
        <v>238</v>
      </c>
      <c r="E33" s="22" t="s">
        <v>236</v>
      </c>
      <c r="F33" s="22" t="s">
        <v>236</v>
      </c>
      <c r="G33" s="23" t="s">
        <v>43</v>
      </c>
      <c r="H33" s="23" t="s">
        <v>43</v>
      </c>
      <c r="I33" s="24" t="s">
        <v>15</v>
      </c>
    </row>
    <row r="34" spans="3:9" ht="19" thickBot="1" x14ac:dyDescent="0.4">
      <c r="C34" s="18"/>
      <c r="D34" s="21" t="s">
        <v>239</v>
      </c>
      <c r="E34" s="22" t="s">
        <v>236</v>
      </c>
      <c r="F34" s="22" t="s">
        <v>236</v>
      </c>
      <c r="G34" s="22" t="s">
        <v>236</v>
      </c>
      <c r="H34" s="23" t="s">
        <v>43</v>
      </c>
      <c r="I34" s="23" t="s">
        <v>43</v>
      </c>
    </row>
    <row r="35" spans="3:9" ht="18.5" x14ac:dyDescent="0.35">
      <c r="D35" s="14"/>
      <c r="E35" s="15"/>
      <c r="F35" s="15"/>
      <c r="G35" s="15"/>
      <c r="H35" s="15"/>
      <c r="I35" s="15"/>
    </row>
    <row r="36" spans="3:9" ht="18.5" x14ac:dyDescent="0.45">
      <c r="D36" s="16"/>
      <c r="E36" s="15"/>
      <c r="F36" s="15"/>
      <c r="G36" s="15"/>
      <c r="H36" s="15"/>
      <c r="I36" s="15"/>
    </row>
    <row r="38" spans="3:9" ht="15" thickBot="1" x14ac:dyDescent="0.4"/>
    <row r="39" spans="3:9" ht="15" thickBot="1" x14ac:dyDescent="0.4">
      <c r="E39" s="34" t="s">
        <v>246</v>
      </c>
      <c r="F39" s="34"/>
    </row>
    <row r="40" spans="3:9" ht="15" thickBot="1" x14ac:dyDescent="0.4">
      <c r="E40" s="25" t="s">
        <v>241</v>
      </c>
      <c r="F40" s="25" t="s">
        <v>242</v>
      </c>
    </row>
    <row r="41" spans="3:9" ht="15" thickBot="1" x14ac:dyDescent="0.4">
      <c r="E41" s="26" t="s">
        <v>243</v>
      </c>
      <c r="F41" s="27" t="s">
        <v>236</v>
      </c>
    </row>
    <row r="42" spans="3:9" ht="15" thickBot="1" x14ac:dyDescent="0.4">
      <c r="E42" s="26" t="s">
        <v>244</v>
      </c>
      <c r="F42" s="28" t="s">
        <v>43</v>
      </c>
    </row>
    <row r="43" spans="3:9" ht="15" thickBot="1" x14ac:dyDescent="0.4">
      <c r="E43" s="26" t="s">
        <v>245</v>
      </c>
      <c r="F43" s="29" t="s">
        <v>15</v>
      </c>
    </row>
  </sheetData>
  <mergeCells count="3">
    <mergeCell ref="A2:M2"/>
    <mergeCell ref="D28:I28"/>
    <mergeCell ref="E39:F39"/>
  </mergeCells>
  <conditionalFormatting sqref="E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 </vt:lpstr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2026-04-08T12:19:49Z</dcterms:created>
  <dcterms:modified xsi:type="dcterms:W3CDTF">2026-04-24T14:38:45Z</dcterms:modified>
</cp:coreProperties>
</file>