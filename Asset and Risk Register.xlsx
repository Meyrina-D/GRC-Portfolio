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OneDrive\Desktop\GCR\"/>
    </mc:Choice>
  </mc:AlternateContent>
  <xr:revisionPtr revIDLastSave="0" documentId="13_ncr:1_{A3CBC723-1D23-4366-8E03-E35606C16616}" xr6:coauthVersionLast="36" xr6:coauthVersionMax="36" xr10:uidLastSave="{00000000-0000-0000-0000-000000000000}"/>
  <bookViews>
    <workbookView xWindow="0" yWindow="0" windowWidth="14380" windowHeight="6160" activeTab="3" xr2:uid="{3E0DFE7C-CC4E-4CC1-B12D-E09EF094EAB1}"/>
  </bookViews>
  <sheets>
    <sheet name="Sheet2" sheetId="6" r:id="rId1"/>
    <sheet name="Asset register " sheetId="3" r:id="rId2"/>
    <sheet name="Asset Classification Guidelines" sheetId="5" r:id="rId3"/>
    <sheet name="Risk register"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3" l="1"/>
  <c r="K6" i="3"/>
  <c r="K7" i="3"/>
  <c r="K8" i="3"/>
  <c r="K9" i="3"/>
  <c r="K10" i="3"/>
  <c r="K11" i="3"/>
  <c r="K12" i="3"/>
  <c r="K13" i="3"/>
  <c r="K14" i="3"/>
  <c r="K15" i="3"/>
  <c r="K16" i="3"/>
  <c r="K17" i="3"/>
  <c r="K18" i="3"/>
  <c r="K19" i="3"/>
  <c r="K20" i="3"/>
  <c r="K21" i="3"/>
  <c r="K22" i="3"/>
  <c r="K23" i="3"/>
  <c r="K4" i="3"/>
</calcChain>
</file>

<file path=xl/sharedStrings.xml><?xml version="1.0" encoding="utf-8"?>
<sst xmlns="http://schemas.openxmlformats.org/spreadsheetml/2006/main" count="349" uniqueCount="223">
  <si>
    <t>Asset ID</t>
  </si>
  <si>
    <t>Asset Name</t>
  </si>
  <si>
    <t>Asset Type</t>
  </si>
  <si>
    <t>Owner</t>
  </si>
  <si>
    <t>Department</t>
  </si>
  <si>
    <t>Location</t>
  </si>
  <si>
    <t>Classification</t>
  </si>
  <si>
    <t>Value</t>
  </si>
  <si>
    <t>A001</t>
  </si>
  <si>
    <t>CEO Laptop</t>
  </si>
  <si>
    <t>Hardware</t>
  </si>
  <si>
    <t>Shawn Garcia</t>
  </si>
  <si>
    <t>Executive</t>
  </si>
  <si>
    <t>Head Office</t>
  </si>
  <si>
    <t>Restricted</t>
  </si>
  <si>
    <t>High</t>
  </si>
  <si>
    <t>A002</t>
  </si>
  <si>
    <t>CTO Laptop</t>
  </si>
  <si>
    <t>Priya</t>
  </si>
  <si>
    <t>Technology</t>
  </si>
  <si>
    <t>A003</t>
  </si>
  <si>
    <t>HR System</t>
  </si>
  <si>
    <t>Software</t>
  </si>
  <si>
    <t>Reese Miller</t>
  </si>
  <si>
    <t>HR &amp; Finance</t>
  </si>
  <si>
    <t>Cloud</t>
  </si>
  <si>
    <t>Confidential</t>
  </si>
  <si>
    <t>A004</t>
  </si>
  <si>
    <t>Finance Database</t>
  </si>
  <si>
    <t>Data</t>
  </si>
  <si>
    <t>Sunil</t>
  </si>
  <si>
    <t>Finance &amp; Admin</t>
  </si>
  <si>
    <t>Server</t>
  </si>
  <si>
    <t>A005</t>
  </si>
  <si>
    <t>Security Monitoring Tool</t>
  </si>
  <si>
    <t>Rohith Varma</t>
  </si>
  <si>
    <t>Tech &amp; Security</t>
  </si>
  <si>
    <t>SOC</t>
  </si>
  <si>
    <t>A006</t>
  </si>
  <si>
    <t>IT Support Laptop</t>
  </si>
  <si>
    <t>Teddy Yu</t>
  </si>
  <si>
    <t>Office</t>
  </si>
  <si>
    <t>Internal</t>
  </si>
  <si>
    <t>Medium</t>
  </si>
  <si>
    <t>A007</t>
  </si>
  <si>
    <t>Cloud Infrastructure</t>
  </si>
  <si>
    <t>Service</t>
  </si>
  <si>
    <t>Karthick</t>
  </si>
  <si>
    <t>A008</t>
  </si>
  <si>
    <t>Penetration Testing Toolkit</t>
  </si>
  <si>
    <t>Ananya</t>
  </si>
  <si>
    <t>Lab</t>
  </si>
  <si>
    <t>A009</t>
  </si>
  <si>
    <t>Security Logs</t>
  </si>
  <si>
    <t>Vidhya</t>
  </si>
  <si>
    <t>A010</t>
  </si>
  <si>
    <t>Project Management Tool</t>
  </si>
  <si>
    <t>Connor Hamilton</t>
  </si>
  <si>
    <t>Client &amp; Delivery</t>
  </si>
  <si>
    <t>A011</t>
  </si>
  <si>
    <t>Client Database</t>
  </si>
  <si>
    <t>Mahendran</t>
  </si>
  <si>
    <t>A012</t>
  </si>
  <si>
    <t>Implementation Server</t>
  </si>
  <si>
    <t>Nick Sharma</t>
  </si>
  <si>
    <t>Data Center</t>
  </si>
  <si>
    <t>A013</t>
  </si>
  <si>
    <t>Business Development CRM</t>
  </si>
  <si>
    <t>Cahaya Dewi</t>
  </si>
  <si>
    <t>A014</t>
  </si>
  <si>
    <t>Customer Support System</t>
  </si>
  <si>
    <t>Reena</t>
  </si>
  <si>
    <t>Client Support</t>
  </si>
  <si>
    <t>A015</t>
  </si>
  <si>
    <t>Risk Register</t>
  </si>
  <si>
    <t>Mariana</t>
  </si>
  <si>
    <t>Risk &amp; Compliance</t>
  </si>
  <si>
    <t>A016</t>
  </si>
  <si>
    <t>Compliance Documents</t>
  </si>
  <si>
    <t>Sanjay Patel</t>
  </si>
  <si>
    <t>A017</t>
  </si>
  <si>
    <t>Audit Reports</t>
  </si>
  <si>
    <t>Rufus Stewart</t>
  </si>
  <si>
    <t>Secure Storage</t>
  </si>
  <si>
    <t>A018</t>
  </si>
  <si>
    <t>Operations Dashboard</t>
  </si>
  <si>
    <t>Sofiya</t>
  </si>
  <si>
    <t>Business Operations</t>
  </si>
  <si>
    <t>A019</t>
  </si>
  <si>
    <t>Business Reports</t>
  </si>
  <si>
    <t>Amith</t>
  </si>
  <si>
    <t>A020</t>
  </si>
  <si>
    <t>Operations Tracking Sheet</t>
  </si>
  <si>
    <t>Ajmal</t>
  </si>
  <si>
    <t>Asset Description</t>
  </si>
  <si>
    <t>Laptop used by CEO for executive operations</t>
  </si>
  <si>
    <t>Laptop used for managing IT infrastructure</t>
  </si>
  <si>
    <t>System managing employee and payroll data</t>
  </si>
  <si>
    <t>Database storing financial transactions</t>
  </si>
  <si>
    <t>Tool used for monitoring security events</t>
  </si>
  <si>
    <t>Laptop used for IT support activities</t>
  </si>
  <si>
    <t>Cloud environment hosting applications</t>
  </si>
  <si>
    <t>Tools used for security testing and assessments</t>
  </si>
  <si>
    <t>Logs generated from security systems</t>
  </si>
  <si>
    <t>Tool used for project planning and tracking</t>
  </si>
  <si>
    <t>Database storing client-related information</t>
  </si>
  <si>
    <t>Server used for deployment and implementation</t>
  </si>
  <si>
    <t>CRM system for managing business leads</t>
  </si>
  <si>
    <t>System for handling customer queries</t>
  </si>
  <si>
    <t>Document tracking identified risks</t>
  </si>
  <si>
    <t>Documents related to regulatory compliance</t>
  </si>
  <si>
    <t>Internal and external audit reports</t>
  </si>
  <si>
    <t>Dashboard for monitoring business operations</t>
  </si>
  <si>
    <t>Reports used for business decision-making</t>
  </si>
  <si>
    <t>Sheet used for tracking operational tasks</t>
  </si>
  <si>
    <t xml:space="preserve">ASSET REGISTER </t>
  </si>
  <si>
    <t>Confidentiality</t>
  </si>
  <si>
    <t>Integrity</t>
  </si>
  <si>
    <t>Availability</t>
  </si>
  <si>
    <t>Low</t>
  </si>
  <si>
    <t>Maximum Asset Value</t>
  </si>
  <si>
    <t>Asset Classification</t>
  </si>
  <si>
    <t>Retention Period</t>
  </si>
  <si>
    <t>5 Years</t>
  </si>
  <si>
    <t>7 Years</t>
  </si>
  <si>
    <t>1 Year</t>
  </si>
  <si>
    <t>3 Years</t>
  </si>
  <si>
    <t>2 Years</t>
  </si>
  <si>
    <t>4 Years</t>
  </si>
  <si>
    <t>Disposal</t>
  </si>
  <si>
    <t>Public</t>
  </si>
  <si>
    <t>No restriction</t>
  </si>
  <si>
    <t>Applies to information intended for public use and reproduction and disclosure is permitted, but only with the written permission .
Eg: Website Content, advertisements, job opening announcements, and press releases, etc.</t>
  </si>
  <si>
    <t>Applies to information that generally available to employees, contractors and authorized third parties in the normal course of business but must be kept within the control and not be disclosed to the public without appropriate authorization.
Eg: Scanning reports, training materials,  policies manuals, procedures, etc</t>
  </si>
  <si>
    <t>Applies to sensitive business information designed strictly to be used for authorized employees and other authorized  parties by the management, who need to have access to the contents, which have a valid non-disclosure agreement. Disclosure of this type of data adversely impact , its business partners and/or its customers.
Eg:Salary related documents, correspondence, employee Records, statement of accounts, proposals, estimates, Monthly performance reports, etc.</t>
  </si>
  <si>
    <t>No importance</t>
  </si>
  <si>
    <t>Integrity does not matter in a sense that there is no direct business impact. (e.g. internal phone directory, location maps, help files)</t>
  </si>
  <si>
    <t>Minor importance</t>
  </si>
  <si>
    <t>Modifications will only have a minor impact (e.g. information on the companies web site, internal procedures)</t>
  </si>
  <si>
    <t>High importance</t>
  </si>
  <si>
    <t>Modifications will have high impact and disrupt the work process (e.g. salary related documents, account statements,monthly performance reports etc)</t>
  </si>
  <si>
    <t>More than a day</t>
  </si>
  <si>
    <t>More than 1 business day (e.g. internal phone directory, location maps, help files)</t>
  </si>
  <si>
    <t>In a day</t>
  </si>
  <si>
    <t>Between 4 hours up to 1 business day, the work process can continue the next day (e.g. information on the  web site, internal procedures)</t>
  </si>
  <si>
    <t>In half a day or in 1 Hour</t>
  </si>
  <si>
    <t>Between 1 hour and 4 hours, the work process can continue on the same day (e.g. salary related documents, account statements,monthly performance reports etc)</t>
  </si>
  <si>
    <t>Impact Level</t>
  </si>
  <si>
    <t>Description</t>
  </si>
  <si>
    <t>Storage (Fixed Media)</t>
  </si>
  <si>
    <t>Storage (Removable Media)</t>
  </si>
  <si>
    <t>Transmission (Email/Internet)</t>
  </si>
  <si>
    <t>Access Control</t>
  </si>
  <si>
    <t>Encryption</t>
  </si>
  <si>
    <t>Logging &amp; Monitoring</t>
  </si>
  <si>
    <t>Third-Party Sharing</t>
  </si>
  <si>
    <t>Labeling</t>
  </si>
  <si>
    <t>Information approved for public release</t>
  </si>
  <si>
    <t>Allowed</t>
  </si>
  <si>
    <t>Not required</t>
  </si>
  <si>
    <t>Normal deletion</t>
  </si>
  <si>
    <t>Optional (Public)</t>
  </si>
  <si>
    <t>Internal business information not for public disclosure</t>
  </si>
  <si>
    <t>Access controlled</t>
  </si>
  <si>
    <t>Allowed with caution</t>
  </si>
  <si>
    <t>Allowed within organization</t>
  </si>
  <si>
    <t>Encrypted when external</t>
  </si>
  <si>
    <t>Organization-wide access</t>
  </si>
  <si>
    <t>Optional</t>
  </si>
  <si>
    <t>Basic logging</t>
  </si>
  <si>
    <t>Standard deletion</t>
  </si>
  <si>
    <t>NDA required</t>
  </si>
  <si>
    <t>No mandatory label</t>
  </si>
  <si>
    <t>Sensitive business or personal data</t>
  </si>
  <si>
    <t>Encrypted only</t>
  </si>
  <si>
    <t>Role-based (RBAC)</t>
  </si>
  <si>
    <t>Mandatory</t>
  </si>
  <si>
    <t>Activity logging required</t>
  </si>
  <si>
    <t>Secure deletion (wipe/shred)</t>
  </si>
  <si>
    <t>Owner approval + NDA</t>
  </si>
  <si>
    <t>Mandatory labeling</t>
  </si>
  <si>
    <t>Critical</t>
  </si>
  <si>
    <t>Highly sensitive / critical business data</t>
  </si>
  <si>
    <t>Strict access control</t>
  </si>
  <si>
    <t>Prohibited unless encrypted &amp; approved</t>
  </si>
  <si>
    <t>Strong encryption mandatory</t>
  </si>
  <si>
    <t>Need-to-know + MFA</t>
  </si>
  <si>
    <t>Mandatory (strong)</t>
  </si>
  <si>
    <t>Full monitoring + alerts</t>
  </si>
  <si>
    <t>Secure destruction</t>
  </si>
  <si>
    <t>Strict approval only</t>
  </si>
  <si>
    <t>Strict classification label</t>
  </si>
  <si>
    <t xml:space="preserve">Asset Classification Guidelines </t>
  </si>
  <si>
    <t>Data Transfer (Download/USB)</t>
  </si>
  <si>
    <t>Restricted, owner approval required</t>
  </si>
  <si>
    <t>Prohibited unless authorized &amp; logged</t>
  </si>
  <si>
    <t>Data Sharing (Email/External)</t>
  </si>
  <si>
    <t>Restricted externally</t>
  </si>
  <si>
    <t>Encrypted + approval required</t>
  </si>
  <si>
    <t>Strong encryption + strict approval</t>
  </si>
  <si>
    <t>Allowed with approval</t>
  </si>
  <si>
    <t>Printing</t>
  </si>
  <si>
    <t>Prohibited</t>
  </si>
  <si>
    <t xml:space="preserve"> </t>
  </si>
  <si>
    <t>Asset and Risk Register</t>
  </si>
  <si>
    <t>Applies To</t>
  </si>
  <si>
    <t>Document ID</t>
  </si>
  <si>
    <t>Author</t>
  </si>
  <si>
    <t>Information Security Officer</t>
  </si>
  <si>
    <t>Approved by:</t>
  </si>
  <si>
    <t>Version History</t>
  </si>
  <si>
    <t>Version</t>
  </si>
  <si>
    <t>Summary of Changes</t>
  </si>
  <si>
    <t>Author &amp; Reviewer</t>
  </si>
  <si>
    <t>Release Date</t>
  </si>
  <si>
    <t>Document Creation</t>
  </si>
  <si>
    <t>Cyber Lift LLC</t>
  </si>
  <si>
    <t>All employees, contractors, and third-party service providers handling organizational assets</t>
  </si>
  <si>
    <t>CYBERLIFT/ISMS/ARR/01</t>
  </si>
  <si>
    <t>Top Management</t>
  </si>
  <si>
    <t>Risk Management Officer</t>
  </si>
  <si>
    <t>25.04.2026</t>
  </si>
  <si>
    <t>This document provides a consolidated view of all organizational assets along with their associated risks, classification, and impact ratings based on Confidentiality, Integrity, and Availability (CIA).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</si>
</sst>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409]d\-mmm\-yyyy;@"/>
  </numFmts>
  <fonts count="20" x14ac:knownFonts="1">
    <font>
      <sz val="11"/>
      <color theme="1"/>
      <name val="Calibri"/>
      <family val="2"/>
      <scheme val="minor"/>
    </font>
    <font>
      <b/>
      <sz val="11"/>
      <color theme="1"/>
      <name val="Calibri"/>
      <family val="2"/>
      <scheme val="minor"/>
    </font>
    <font>
      <sz val="20"/>
      <color theme="1"/>
      <name val="Calibri"/>
      <family val="2"/>
      <scheme val="minor"/>
    </font>
    <font>
      <b/>
      <sz val="14"/>
      <color theme="1"/>
      <name val="Cambria"/>
      <family val="1"/>
    </font>
    <font>
      <sz val="14"/>
      <color theme="1"/>
      <name val="Cambria"/>
      <family val="1"/>
    </font>
    <font>
      <sz val="14"/>
      <color theme="1"/>
      <name val="Calibri"/>
      <family val="2"/>
      <scheme val="minor"/>
    </font>
    <font>
      <b/>
      <sz val="14"/>
      <color theme="1"/>
      <name val="Calibri"/>
      <family val="2"/>
      <scheme val="minor"/>
    </font>
    <font>
      <sz val="11"/>
      <color theme="1"/>
      <name val="Calibri"/>
      <family val="2"/>
      <scheme val="minor"/>
    </font>
    <font>
      <sz val="10"/>
      <name val="Arial"/>
      <family val="2"/>
    </font>
    <font>
      <sz val="10"/>
      <name val="Calibri"/>
      <family val="2"/>
      <scheme val="minor"/>
    </font>
    <font>
      <b/>
      <sz val="11"/>
      <name val="Calibri"/>
      <family val="2"/>
      <scheme val="minor"/>
    </font>
    <font>
      <sz val="11"/>
      <name val="Calibri"/>
      <family val="2"/>
      <scheme val="minor"/>
    </font>
    <font>
      <b/>
      <sz val="11"/>
      <name val="Calibri"/>
      <family val="2"/>
    </font>
    <font>
      <sz val="11"/>
      <name val="Calibri"/>
      <family val="2"/>
    </font>
    <font>
      <b/>
      <sz val="16"/>
      <color theme="1"/>
      <name val="Calibri"/>
      <family val="2"/>
      <scheme val="minor"/>
    </font>
    <font>
      <b/>
      <sz val="20"/>
      <color theme="1"/>
      <name val="Calibri"/>
      <family val="2"/>
      <scheme val="minor"/>
    </font>
    <font>
      <sz val="10"/>
      <name val="Helv"/>
      <family val="2"/>
    </font>
    <font>
      <sz val="12"/>
      <name val="Times New Roman"/>
      <family val="1"/>
    </font>
    <font>
      <b/>
      <sz val="12"/>
      <name val="Arial"/>
      <family val="2"/>
    </font>
    <font>
      <b/>
      <sz val="1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s>
  <cellStyleXfs count="4">
    <xf numFmtId="0" fontId="0" fillId="0" borderId="0"/>
    <xf numFmtId="0" fontId="8" fillId="0" borderId="0"/>
    <xf numFmtId="0" fontId="7" fillId="0" borderId="0"/>
    <xf numFmtId="0" fontId="16" fillId="0" borderId="0"/>
  </cellStyleXfs>
  <cellXfs count="75">
    <xf numFmtId="0" fontId="0" fillId="0" borderId="0" xfId="0"/>
    <xf numFmtId="0" fontId="2" fillId="0" borderId="0" xfId="0" applyFont="1"/>
    <xf numFmtId="0" fontId="2" fillId="0" borderId="0" xfId="0" applyFont="1" applyAlignment="1">
      <alignment horizontal="left"/>
    </xf>
    <xf numFmtId="0" fontId="2" fillId="0" borderId="0" xfId="0" applyFont="1" applyAlignment="1">
      <alignment horizontal="center"/>
    </xf>
    <xf numFmtId="0" fontId="0" fillId="0" borderId="0" xfId="0" applyAlignment="1">
      <alignment vertical="center" wrapText="1"/>
    </xf>
    <xf numFmtId="0" fontId="1" fillId="0" borderId="0" xfId="0" applyFont="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3" fillId="2" borderId="2" xfId="0" applyFont="1" applyFill="1" applyBorder="1" applyAlignment="1">
      <alignment horizontal="center"/>
    </xf>
    <xf numFmtId="0" fontId="2" fillId="0" borderId="0" xfId="0" applyFont="1" applyAlignment="1">
      <alignment vertical="center"/>
    </xf>
    <xf numFmtId="0" fontId="2" fillId="0" borderId="2" xfId="0" applyFont="1" applyBorder="1"/>
    <xf numFmtId="0" fontId="8" fillId="3" borderId="0" xfId="1" applyFill="1"/>
    <xf numFmtId="0" fontId="8" fillId="0" borderId="0" xfId="1"/>
    <xf numFmtId="0" fontId="8" fillId="3" borderId="0" xfId="1" applyFill="1" applyAlignment="1">
      <alignment wrapText="1"/>
    </xf>
    <xf numFmtId="0" fontId="11" fillId="3" borderId="0" xfId="1" applyFont="1" applyFill="1" applyAlignment="1">
      <alignment horizontal="center" vertical="top" wrapText="1"/>
    </xf>
    <xf numFmtId="0" fontId="11" fillId="3" borderId="0" xfId="1" applyFont="1" applyFill="1" applyAlignment="1">
      <alignment vertical="center" wrapText="1"/>
    </xf>
    <xf numFmtId="0" fontId="9" fillId="3" borderId="0" xfId="1" applyFont="1" applyFill="1"/>
    <xf numFmtId="0" fontId="11" fillId="3" borderId="0" xfId="1" applyFont="1" applyFill="1" applyAlignment="1">
      <alignment vertical="top" wrapText="1"/>
    </xf>
    <xf numFmtId="0" fontId="12" fillId="3" borderId="2" xfId="1" applyFont="1" applyFill="1" applyBorder="1" applyAlignment="1">
      <alignment horizontal="center" vertical="top" wrapText="1"/>
    </xf>
    <xf numFmtId="0" fontId="12" fillId="3" borderId="2" xfId="1" applyFont="1" applyFill="1" applyBorder="1" applyAlignment="1">
      <alignment vertical="top" wrapText="1"/>
    </xf>
    <xf numFmtId="0" fontId="13" fillId="3" borderId="2" xfId="1" applyFont="1" applyFill="1" applyBorder="1" applyAlignment="1">
      <alignment vertical="top" wrapText="1"/>
    </xf>
    <xf numFmtId="0" fontId="11" fillId="3" borderId="2" xfId="1" applyFont="1" applyFill="1" applyBorder="1" applyAlignment="1">
      <alignment horizontal="left" vertical="top" wrapText="1"/>
    </xf>
    <xf numFmtId="0" fontId="11" fillId="3" borderId="4" xfId="1" applyFont="1" applyFill="1" applyBorder="1" applyAlignment="1">
      <alignment horizontal="left" vertical="top" wrapText="1"/>
    </xf>
    <xf numFmtId="0" fontId="11" fillId="3" borderId="5" xfId="1" applyFont="1" applyFill="1" applyBorder="1" applyAlignment="1">
      <alignment horizontal="left" vertical="top" wrapText="1"/>
    </xf>
    <xf numFmtId="0" fontId="15" fillId="0" borderId="2" xfId="0" applyFont="1" applyBorder="1" applyAlignment="1">
      <alignment horizont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6"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vertical="center"/>
    </xf>
    <xf numFmtId="0" fontId="5" fillId="0" borderId="2" xfId="0" applyFont="1" applyBorder="1" applyAlignment="1">
      <alignment vertical="center" wrapText="1"/>
    </xf>
    <xf numFmtId="0" fontId="10" fillId="3" borderId="0" xfId="1" applyFont="1" applyFill="1" applyAlignment="1">
      <alignment vertical="top" wrapText="1"/>
    </xf>
    <xf numFmtId="0" fontId="10" fillId="3" borderId="0" xfId="1" applyFont="1" applyFill="1"/>
    <xf numFmtId="0" fontId="12" fillId="3" borderId="2" xfId="1" applyFont="1" applyFill="1" applyBorder="1" applyAlignment="1">
      <alignment horizontal="center" vertical="center" wrapText="1"/>
    </xf>
    <xf numFmtId="0" fontId="13" fillId="3" borderId="2" xfId="1" applyFont="1" applyFill="1" applyBorder="1" applyAlignment="1">
      <alignment vertical="center" wrapText="1"/>
    </xf>
    <xf numFmtId="0" fontId="13" fillId="3" borderId="2" xfId="1" applyFont="1" applyFill="1" applyBorder="1" applyAlignment="1">
      <alignment horizontal="left" vertical="center" wrapText="1"/>
    </xf>
    <xf numFmtId="0" fontId="0" fillId="0" borderId="0" xfId="2" applyFont="1"/>
    <xf numFmtId="0" fontId="7" fillId="0" borderId="0" xfId="2"/>
    <xf numFmtId="0" fontId="16" fillId="4" borderId="6" xfId="3" applyFill="1" applyBorder="1"/>
    <xf numFmtId="0" fontId="7" fillId="0" borderId="7" xfId="2" applyBorder="1"/>
    <xf numFmtId="0" fontId="16" fillId="4" borderId="7" xfId="3" applyFill="1" applyBorder="1"/>
    <xf numFmtId="0" fontId="16" fillId="4" borderId="8" xfId="3" applyFill="1" applyBorder="1"/>
    <xf numFmtId="0" fontId="16" fillId="4" borderId="9" xfId="3" applyFill="1" applyBorder="1"/>
    <xf numFmtId="0" fontId="16" fillId="4" borderId="0" xfId="3" applyFill="1"/>
    <xf numFmtId="0" fontId="16" fillId="4" borderId="3" xfId="3" applyFill="1" applyBorder="1"/>
    <xf numFmtId="0" fontId="17" fillId="4" borderId="0" xfId="3" applyFont="1" applyFill="1"/>
    <xf numFmtId="0" fontId="18" fillId="4" borderId="0" xfId="3" applyFont="1" applyFill="1" applyAlignment="1">
      <alignment horizontal="justify"/>
    </xf>
    <xf numFmtId="0" fontId="8" fillId="4" borderId="10" xfId="3" applyFont="1" applyFill="1" applyBorder="1" applyAlignment="1">
      <alignment horizontal="justify" vertical="top" wrapText="1"/>
    </xf>
    <xf numFmtId="0" fontId="8" fillId="4" borderId="11" xfId="3" applyFont="1" applyFill="1" applyBorder="1" applyAlignment="1">
      <alignment horizontal="justify" vertical="top" wrapText="1"/>
    </xf>
    <xf numFmtId="0" fontId="16" fillId="4" borderId="12" xfId="3" applyFill="1" applyBorder="1"/>
    <xf numFmtId="0" fontId="16" fillId="4" borderId="13" xfId="3" applyFill="1" applyBorder="1"/>
    <xf numFmtId="0" fontId="16" fillId="4" borderId="14" xfId="3" applyFill="1" applyBorder="1"/>
    <xf numFmtId="0" fontId="19" fillId="4" borderId="1" xfId="3" applyFont="1" applyFill="1" applyBorder="1" applyAlignment="1">
      <alignment horizontal="justify" vertical="top" wrapText="1"/>
    </xf>
    <xf numFmtId="0" fontId="19" fillId="4" borderId="14" xfId="3" applyFont="1" applyFill="1" applyBorder="1" applyAlignment="1">
      <alignment horizontal="justify" vertical="top" wrapText="1"/>
    </xf>
    <xf numFmtId="168" fontId="8" fillId="4" borderId="10" xfId="3" applyNumberFormat="1" applyFont="1" applyFill="1" applyBorder="1" applyAlignment="1">
      <alignment horizontal="justify" vertical="top" wrapText="1"/>
    </xf>
    <xf numFmtId="15" fontId="8" fillId="4" borderId="11" xfId="3" applyNumberFormat="1" applyFont="1" applyFill="1" applyBorder="1" applyAlignment="1">
      <alignment horizontal="justify" vertical="top" wrapText="1"/>
    </xf>
    <xf numFmtId="0" fontId="8" fillId="4" borderId="11" xfId="3" applyFont="1" applyFill="1" applyBorder="1" applyAlignment="1">
      <alignment horizontal="left" vertical="top" wrapText="1"/>
    </xf>
    <xf numFmtId="169" fontId="8" fillId="4" borderId="11" xfId="3" applyNumberFormat="1" applyFont="1" applyFill="1" applyBorder="1" applyAlignment="1">
      <alignment horizontal="justify" vertical="top" wrapText="1"/>
    </xf>
    <xf numFmtId="0" fontId="16" fillId="4" borderId="15" xfId="3" applyFill="1" applyBorder="1"/>
    <xf numFmtId="0" fontId="16" fillId="4" borderId="16" xfId="3" applyFill="1" applyBorder="1"/>
    <xf numFmtId="0" fontId="8" fillId="4" borderId="16" xfId="3" applyFont="1" applyFill="1" applyBorder="1" applyAlignment="1">
      <alignment horizontal="center" vertical="top" wrapText="1"/>
    </xf>
    <xf numFmtId="0" fontId="8" fillId="4" borderId="11" xfId="3" applyFont="1" applyFill="1" applyBorder="1" applyAlignment="1">
      <alignment horizontal="center" vertical="top" wrapText="1"/>
    </xf>
    <xf numFmtId="0" fontId="18" fillId="4" borderId="1" xfId="3" applyFont="1" applyFill="1" applyBorder="1" applyAlignment="1">
      <alignment horizontal="justify" vertical="center"/>
    </xf>
    <xf numFmtId="0" fontId="11" fillId="4" borderId="2" xfId="3" applyFont="1" applyFill="1" applyBorder="1" applyAlignment="1">
      <alignment horizontal="justify" vertical="top" wrapText="1"/>
    </xf>
    <xf numFmtId="0" fontId="7" fillId="0" borderId="2" xfId="0" applyFont="1" applyBorder="1" applyAlignment="1">
      <alignment wrapText="1"/>
    </xf>
    <xf numFmtId="0" fontId="7" fillId="0" borderId="2" xfId="0" applyFont="1" applyBorder="1"/>
    <xf numFmtId="169" fontId="8" fillId="4" borderId="11" xfId="3" applyNumberFormat="1" applyFont="1" applyFill="1" applyBorder="1" applyAlignment="1">
      <alignment horizontal="justify" vertical="center" wrapText="1"/>
    </xf>
    <xf numFmtId="15" fontId="8" fillId="4" borderId="11" xfId="3" applyNumberFormat="1" applyFont="1" applyFill="1" applyBorder="1" applyAlignment="1">
      <alignment horizontal="justify" vertical="center" wrapText="1"/>
    </xf>
    <xf numFmtId="168" fontId="8" fillId="4" borderId="10" xfId="3" applyNumberFormat="1" applyFont="1" applyFill="1" applyBorder="1" applyAlignment="1">
      <alignment horizontal="justify" vertical="center" wrapText="1"/>
    </xf>
    <xf numFmtId="0" fontId="18" fillId="3" borderId="0" xfId="3" applyFont="1" applyFill="1"/>
    <xf numFmtId="0" fontId="17" fillId="3" borderId="0" xfId="3" applyFont="1" applyFill="1"/>
    <xf numFmtId="0" fontId="0" fillId="0" borderId="0" xfId="0" applyAlignment="1">
      <alignment vertical="center" wrapText="1"/>
    </xf>
    <xf numFmtId="0" fontId="1" fillId="0" borderId="0" xfId="2" applyFont="1" applyAlignment="1">
      <alignment vertical="center"/>
    </xf>
  </cellXfs>
  <cellStyles count="4">
    <cellStyle name="Normal" xfId="0" builtinId="0"/>
    <cellStyle name="Normal 2" xfId="1" xr:uid="{05095F08-30E0-41E8-BE5C-195D6BE24D97}"/>
    <cellStyle name="Normal 2 3" xfId="2" xr:uid="{98EF6821-6DE5-44BA-9348-32E95E5A9F76}"/>
    <cellStyle name="Normal_WDC Risk Assessment v 17.0" xfId="3" xr:uid="{7702B3F6-14F2-49AC-9A7A-33CFA06E6468}"/>
  </cellStyles>
  <dxfs count="0"/>
  <tableStyles count="0" defaultTableStyle="TableStyleMedium2" defaultPivotStyle="PivotStyleLight16"/>
  <colors>
    <mruColors>
      <color rgb="FFFFFF66"/>
      <color rgb="FFFF6C5D"/>
      <color rgb="FFFFE4E1"/>
      <color rgb="FFFFFFCC"/>
      <color rgb="FFFB1105"/>
      <color rgb="FFFF0000"/>
      <color rgb="FFFFFF00"/>
      <color rgb="FF33CC33"/>
      <color rgb="FFCC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7B3D-77B9-4FD6-B934-5C5C88C400B3}">
  <dimension ref="A1:H28"/>
  <sheetViews>
    <sheetView topLeftCell="A22" workbookViewId="0">
      <selection activeCell="L30" sqref="L30"/>
    </sheetView>
  </sheetViews>
  <sheetFormatPr defaultRowHeight="14.5" x14ac:dyDescent="0.35"/>
  <cols>
    <col min="3" max="3" width="13.36328125" customWidth="1"/>
    <col min="4" max="4" width="29.7265625" customWidth="1"/>
    <col min="5" max="5" width="14.6328125" customWidth="1"/>
    <col min="6" max="6" width="13.54296875" customWidth="1"/>
    <col min="7" max="7" width="8.7265625" customWidth="1"/>
  </cols>
  <sheetData>
    <row r="1" spans="1:8" ht="15" thickBot="1" x14ac:dyDescent="0.4">
      <c r="A1" s="38"/>
      <c r="B1" s="39"/>
      <c r="C1" s="39"/>
      <c r="D1" s="39"/>
      <c r="E1" s="39"/>
      <c r="F1" s="39"/>
      <c r="G1" s="39"/>
      <c r="H1" s="39"/>
    </row>
    <row r="2" spans="1:8" x14ac:dyDescent="0.35">
      <c r="A2" s="39"/>
      <c r="B2" s="40"/>
      <c r="C2" s="41"/>
      <c r="D2" s="42"/>
      <c r="E2" s="42"/>
      <c r="F2" s="42"/>
      <c r="G2" s="43"/>
      <c r="H2" s="39"/>
    </row>
    <row r="3" spans="1:8" x14ac:dyDescent="0.35">
      <c r="A3" s="39"/>
      <c r="B3" s="44"/>
      <c r="C3" s="38" t="s">
        <v>216</v>
      </c>
      <c r="D3" s="45"/>
      <c r="E3" s="45"/>
      <c r="F3" s="45"/>
      <c r="G3" s="46"/>
      <c r="H3" s="39"/>
    </row>
    <row r="4" spans="1:8" ht="15.5" x14ac:dyDescent="0.35">
      <c r="A4" s="39"/>
      <c r="B4" s="44"/>
      <c r="C4" s="45"/>
      <c r="D4" s="47" t="s">
        <v>203</v>
      </c>
      <c r="E4" s="45"/>
      <c r="F4" s="45"/>
      <c r="G4" s="46"/>
      <c r="H4" s="39"/>
    </row>
    <row r="5" spans="1:8" ht="15.5" x14ac:dyDescent="0.35">
      <c r="A5" s="39"/>
      <c r="B5" s="44"/>
      <c r="C5" s="71" t="s">
        <v>204</v>
      </c>
      <c r="D5" s="72"/>
      <c r="E5" s="72"/>
      <c r="F5" s="72"/>
      <c r="G5" s="46"/>
      <c r="H5" s="39"/>
    </row>
    <row r="6" spans="1:8" ht="15.5" x14ac:dyDescent="0.35">
      <c r="A6" s="39"/>
      <c r="B6" s="44"/>
      <c r="C6" s="48"/>
      <c r="D6" s="45"/>
      <c r="E6" s="45"/>
      <c r="F6" s="45"/>
      <c r="G6" s="46"/>
      <c r="H6" s="39"/>
    </row>
    <row r="7" spans="1:8" ht="43.5" x14ac:dyDescent="0.35">
      <c r="A7" s="39"/>
      <c r="B7" s="44"/>
      <c r="C7" s="65" t="s">
        <v>205</v>
      </c>
      <c r="D7" s="66" t="s">
        <v>217</v>
      </c>
      <c r="E7" s="45"/>
      <c r="F7" s="45"/>
      <c r="G7" s="46"/>
      <c r="H7" s="39"/>
    </row>
    <row r="8" spans="1:8" x14ac:dyDescent="0.35">
      <c r="A8" s="39"/>
      <c r="B8" s="44"/>
      <c r="C8" s="65" t="s">
        <v>206</v>
      </c>
      <c r="D8" s="65" t="s">
        <v>218</v>
      </c>
      <c r="E8" s="45"/>
      <c r="F8" s="45"/>
      <c r="G8" s="46"/>
      <c r="H8" s="39"/>
    </row>
    <row r="9" spans="1:8" x14ac:dyDescent="0.35">
      <c r="A9" s="39"/>
      <c r="B9" s="44"/>
      <c r="C9" s="65" t="s">
        <v>6</v>
      </c>
      <c r="D9" s="65" t="s">
        <v>26</v>
      </c>
      <c r="E9" s="45"/>
      <c r="F9" s="45"/>
      <c r="G9" s="46"/>
      <c r="H9" s="39"/>
    </row>
    <row r="10" spans="1:8" x14ac:dyDescent="0.35">
      <c r="A10" s="39"/>
      <c r="B10" s="44"/>
      <c r="C10" s="65" t="s">
        <v>207</v>
      </c>
      <c r="D10" s="65" t="s">
        <v>220</v>
      </c>
      <c r="E10" s="45"/>
      <c r="F10" s="45"/>
      <c r="G10" s="46"/>
      <c r="H10" s="39"/>
    </row>
    <row r="11" spans="1:8" x14ac:dyDescent="0.35">
      <c r="A11" s="39"/>
      <c r="B11" s="44"/>
      <c r="C11" s="65" t="s">
        <v>209</v>
      </c>
      <c r="D11" s="67" t="s">
        <v>219</v>
      </c>
      <c r="E11" s="45"/>
      <c r="F11" s="45"/>
      <c r="G11" s="46"/>
      <c r="H11" s="39"/>
    </row>
    <row r="12" spans="1:8" ht="16" thickBot="1" x14ac:dyDescent="0.4">
      <c r="A12" s="39"/>
      <c r="B12" s="44"/>
      <c r="C12" s="48"/>
      <c r="D12" s="45"/>
      <c r="E12" s="45"/>
      <c r="F12" s="45"/>
      <c r="G12" s="46"/>
      <c r="H12" s="39"/>
    </row>
    <row r="13" spans="1:8" ht="31.5" thickBot="1" x14ac:dyDescent="0.4">
      <c r="A13" s="39"/>
      <c r="B13" s="44"/>
      <c r="C13" s="64" t="s">
        <v>210</v>
      </c>
      <c r="D13" s="51"/>
      <c r="E13" s="52"/>
      <c r="F13" s="53"/>
      <c r="G13" s="46"/>
      <c r="H13" s="39"/>
    </row>
    <row r="14" spans="1:8" ht="56.5" thickBot="1" x14ac:dyDescent="0.4">
      <c r="A14" s="39"/>
      <c r="B14" s="44"/>
      <c r="C14" s="54" t="s">
        <v>211</v>
      </c>
      <c r="D14" s="55" t="s">
        <v>212</v>
      </c>
      <c r="E14" s="55" t="s">
        <v>213</v>
      </c>
      <c r="F14" s="55" t="s">
        <v>214</v>
      </c>
      <c r="G14" s="46"/>
      <c r="H14" s="39"/>
    </row>
    <row r="15" spans="1:8" ht="25.5" thickBot="1" x14ac:dyDescent="0.4">
      <c r="A15" s="39"/>
      <c r="B15" s="44"/>
      <c r="C15" s="70">
        <v>1</v>
      </c>
      <c r="D15" s="69" t="s">
        <v>215</v>
      </c>
      <c r="E15" s="58" t="s">
        <v>208</v>
      </c>
      <c r="F15" s="68" t="s">
        <v>221</v>
      </c>
      <c r="G15" s="46"/>
      <c r="H15" s="39"/>
    </row>
    <row r="16" spans="1:8" ht="15" thickBot="1" x14ac:dyDescent="0.4">
      <c r="A16" s="39"/>
      <c r="B16" s="44"/>
      <c r="C16" s="56"/>
      <c r="D16" s="57"/>
      <c r="E16" s="58"/>
      <c r="F16" s="59"/>
      <c r="G16" s="46"/>
      <c r="H16" s="39"/>
    </row>
    <row r="17" spans="1:8" ht="15" thickBot="1" x14ac:dyDescent="0.4">
      <c r="A17" s="39"/>
      <c r="B17" s="44"/>
      <c r="C17" s="56"/>
      <c r="D17" s="57"/>
      <c r="E17" s="58"/>
      <c r="F17" s="59"/>
      <c r="G17" s="46"/>
      <c r="H17" s="39"/>
    </row>
    <row r="18" spans="1:8" ht="15" thickBot="1" x14ac:dyDescent="0.4">
      <c r="A18" s="39"/>
      <c r="B18" s="44"/>
      <c r="C18" s="56"/>
      <c r="D18" s="49"/>
      <c r="E18" s="58"/>
      <c r="F18" s="59"/>
      <c r="G18" s="46"/>
      <c r="H18" s="39"/>
    </row>
    <row r="19" spans="1:8" ht="15" thickBot="1" x14ac:dyDescent="0.4">
      <c r="A19" s="39"/>
      <c r="B19" s="44"/>
      <c r="C19" s="56"/>
      <c r="D19" s="50"/>
      <c r="E19" s="58"/>
      <c r="F19" s="59"/>
      <c r="G19" s="46"/>
      <c r="H19" s="39"/>
    </row>
    <row r="20" spans="1:8" ht="27.5" customHeight="1" thickBot="1" x14ac:dyDescent="0.4">
      <c r="A20" s="39"/>
      <c r="B20" s="60"/>
      <c r="C20" s="61"/>
      <c r="D20" s="61"/>
      <c r="E20" s="62"/>
      <c r="F20" s="62"/>
      <c r="G20" s="63"/>
      <c r="H20" s="39"/>
    </row>
    <row r="21" spans="1:8" x14ac:dyDescent="0.35">
      <c r="A21" s="39"/>
      <c r="B21" s="39"/>
      <c r="C21" s="39"/>
      <c r="D21" s="39"/>
      <c r="E21" s="39"/>
      <c r="F21" s="39"/>
      <c r="G21" s="39"/>
      <c r="H21" s="39"/>
    </row>
    <row r="22" spans="1:8" ht="34" customHeight="1" x14ac:dyDescent="0.35">
      <c r="A22" s="39"/>
      <c r="B22" s="39"/>
      <c r="C22" s="74" t="s">
        <v>148</v>
      </c>
      <c r="D22" s="39"/>
      <c r="E22" s="39"/>
      <c r="F22" s="39"/>
      <c r="G22" s="39"/>
      <c r="H22" s="39"/>
    </row>
    <row r="23" spans="1:8" x14ac:dyDescent="0.35">
      <c r="A23" s="39"/>
      <c r="B23" s="39"/>
      <c r="C23" s="73" t="s">
        <v>222</v>
      </c>
      <c r="D23" s="73"/>
      <c r="E23" s="73"/>
      <c r="F23" s="73"/>
      <c r="G23" s="73"/>
      <c r="H23" s="39"/>
    </row>
    <row r="24" spans="1:8" x14ac:dyDescent="0.35">
      <c r="A24" s="39"/>
      <c r="B24" s="39"/>
      <c r="C24" s="73"/>
      <c r="D24" s="73"/>
      <c r="E24" s="73"/>
      <c r="F24" s="73"/>
      <c r="G24" s="73"/>
      <c r="H24" s="39"/>
    </row>
    <row r="25" spans="1:8" x14ac:dyDescent="0.35">
      <c r="A25" s="39"/>
      <c r="B25" s="39"/>
      <c r="C25" s="73"/>
      <c r="D25" s="73"/>
      <c r="E25" s="73"/>
      <c r="F25" s="73"/>
      <c r="G25" s="73"/>
      <c r="H25" s="39"/>
    </row>
    <row r="26" spans="1:8" x14ac:dyDescent="0.35">
      <c r="C26" s="73"/>
      <c r="D26" s="73"/>
      <c r="E26" s="73"/>
      <c r="F26" s="73"/>
      <c r="G26" s="73"/>
    </row>
    <row r="27" spans="1:8" x14ac:dyDescent="0.35">
      <c r="C27" s="73"/>
      <c r="D27" s="73"/>
      <c r="E27" s="73"/>
      <c r="F27" s="73"/>
      <c r="G27" s="73"/>
    </row>
    <row r="28" spans="1:8" x14ac:dyDescent="0.35">
      <c r="C28" s="73"/>
      <c r="D28" s="73"/>
      <c r="E28" s="73"/>
      <c r="F28" s="73"/>
      <c r="G28" s="73"/>
    </row>
  </sheetData>
  <mergeCells count="1">
    <mergeCell ref="C23:G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0DA0-3CAE-4F5F-8E28-247249D242B4}">
  <dimension ref="A2:T25"/>
  <sheetViews>
    <sheetView zoomScale="35" zoomScaleNormal="60" workbookViewId="0">
      <selection activeCell="N21" sqref="N21"/>
    </sheetView>
  </sheetViews>
  <sheetFormatPr defaultRowHeight="26" x14ac:dyDescent="0.6"/>
  <cols>
    <col min="1" max="1" width="17.26953125" style="1" customWidth="1"/>
    <col min="2" max="2" width="34.1796875" style="2" customWidth="1"/>
    <col min="3" max="3" width="49.7265625" style="2" customWidth="1"/>
    <col min="4" max="4" width="35.26953125" style="2" customWidth="1"/>
    <col min="5" max="5" width="36.26953125" style="2" customWidth="1"/>
    <col min="6" max="6" width="33.90625" style="1" customWidth="1"/>
    <col min="7" max="7" width="27.08984375" style="1" customWidth="1"/>
    <col min="8" max="8" width="29.90625" style="3" customWidth="1"/>
    <col min="9" max="9" width="25.54296875" style="3" customWidth="1"/>
    <col min="10" max="11" width="26.6328125" style="3" customWidth="1"/>
    <col min="12" max="12" width="31.08984375" style="10" customWidth="1"/>
    <col min="13" max="13" width="25.26953125" style="3" customWidth="1"/>
    <col min="14" max="14" width="30.54296875" style="1" customWidth="1"/>
    <col min="15" max="16384" width="8.7265625" style="1"/>
  </cols>
  <sheetData>
    <row r="2" spans="1:20" x14ac:dyDescent="0.6">
      <c r="A2" s="9" t="s">
        <v>115</v>
      </c>
      <c r="B2" s="9"/>
      <c r="C2" s="9"/>
      <c r="D2" s="9"/>
      <c r="E2" s="9"/>
      <c r="F2" s="9"/>
      <c r="G2" s="9"/>
      <c r="H2" s="9"/>
      <c r="I2" s="9"/>
      <c r="J2" s="9"/>
      <c r="K2" s="9"/>
      <c r="L2" s="9"/>
      <c r="M2" s="9"/>
      <c r="N2" s="9"/>
    </row>
    <row r="3" spans="1:20" ht="35" x14ac:dyDescent="0.6">
      <c r="A3" s="6" t="s">
        <v>0</v>
      </c>
      <c r="B3" s="6" t="s">
        <v>1</v>
      </c>
      <c r="C3" s="6" t="s">
        <v>94</v>
      </c>
      <c r="D3" s="6" t="s">
        <v>2</v>
      </c>
      <c r="E3" s="6" t="s">
        <v>3</v>
      </c>
      <c r="F3" s="6" t="s">
        <v>4</v>
      </c>
      <c r="G3" s="6" t="s">
        <v>5</v>
      </c>
      <c r="H3" s="6" t="s">
        <v>116</v>
      </c>
      <c r="I3" s="6" t="s">
        <v>117</v>
      </c>
      <c r="J3" s="6" t="s">
        <v>118</v>
      </c>
      <c r="K3" s="6" t="s">
        <v>120</v>
      </c>
      <c r="L3" s="6" t="s">
        <v>121</v>
      </c>
      <c r="M3" s="6" t="s">
        <v>7</v>
      </c>
      <c r="N3" s="11" t="s">
        <v>122</v>
      </c>
    </row>
    <row r="4" spans="1:20" ht="35" x14ac:dyDescent="0.6">
      <c r="A4" s="7" t="s">
        <v>8</v>
      </c>
      <c r="B4" s="7" t="s">
        <v>9</v>
      </c>
      <c r="C4" s="7" t="s">
        <v>95</v>
      </c>
      <c r="D4" s="7" t="s">
        <v>10</v>
      </c>
      <c r="E4" s="7" t="s">
        <v>11</v>
      </c>
      <c r="F4" s="7" t="s">
        <v>12</v>
      </c>
      <c r="G4" s="7" t="s">
        <v>13</v>
      </c>
      <c r="H4" s="8">
        <v>3</v>
      </c>
      <c r="I4" s="8">
        <v>3</v>
      </c>
      <c r="J4" s="8">
        <v>3</v>
      </c>
      <c r="K4" s="8">
        <f>MAX(H4,I4,J4)</f>
        <v>3</v>
      </c>
      <c r="L4" s="7" t="s">
        <v>14</v>
      </c>
      <c r="M4" s="7" t="s">
        <v>15</v>
      </c>
      <c r="N4" s="11" t="s">
        <v>123</v>
      </c>
    </row>
    <row r="5" spans="1:20" x14ac:dyDescent="0.6">
      <c r="A5" s="7" t="s">
        <v>16</v>
      </c>
      <c r="B5" s="7" t="s">
        <v>17</v>
      </c>
      <c r="C5" s="7" t="s">
        <v>96</v>
      </c>
      <c r="D5" s="7" t="s">
        <v>10</v>
      </c>
      <c r="E5" s="7" t="s">
        <v>18</v>
      </c>
      <c r="F5" s="7" t="s">
        <v>19</v>
      </c>
      <c r="G5" s="7" t="s">
        <v>13</v>
      </c>
      <c r="H5" s="8">
        <v>3</v>
      </c>
      <c r="I5" s="8">
        <v>3</v>
      </c>
      <c r="J5" s="8">
        <v>3</v>
      </c>
      <c r="K5" s="8">
        <f t="shared" ref="K5:K23" si="0">MAX(H5,I5,J5)</f>
        <v>3</v>
      </c>
      <c r="L5" s="7" t="s">
        <v>14</v>
      </c>
      <c r="M5" s="7" t="s">
        <v>15</v>
      </c>
      <c r="N5" s="11" t="s">
        <v>123</v>
      </c>
      <c r="Q5" s="5"/>
      <c r="R5" s="5"/>
      <c r="S5" s="5"/>
      <c r="T5" s="5"/>
    </row>
    <row r="6" spans="1:20" ht="35" x14ac:dyDescent="0.6">
      <c r="A6" s="7" t="s">
        <v>20</v>
      </c>
      <c r="B6" s="7" t="s">
        <v>21</v>
      </c>
      <c r="C6" s="7" t="s">
        <v>97</v>
      </c>
      <c r="D6" s="7" t="s">
        <v>22</v>
      </c>
      <c r="E6" s="7" t="s">
        <v>23</v>
      </c>
      <c r="F6" s="7" t="s">
        <v>24</v>
      </c>
      <c r="G6" s="7" t="s">
        <v>25</v>
      </c>
      <c r="H6" s="8">
        <v>3</v>
      </c>
      <c r="I6" s="8">
        <v>3</v>
      </c>
      <c r="J6" s="8">
        <v>2</v>
      </c>
      <c r="K6" s="8">
        <f t="shared" si="0"/>
        <v>3</v>
      </c>
      <c r="L6" s="7" t="s">
        <v>26</v>
      </c>
      <c r="M6" s="7" t="s">
        <v>15</v>
      </c>
      <c r="N6" s="11" t="s">
        <v>124</v>
      </c>
      <c r="Q6" s="4"/>
    </row>
    <row r="7" spans="1:20" x14ac:dyDescent="0.6">
      <c r="A7" s="7" t="s">
        <v>27</v>
      </c>
      <c r="B7" s="7" t="s">
        <v>28</v>
      </c>
      <c r="C7" s="7" t="s">
        <v>98</v>
      </c>
      <c r="D7" s="7" t="s">
        <v>29</v>
      </c>
      <c r="E7" s="7" t="s">
        <v>30</v>
      </c>
      <c r="F7" s="7" t="s">
        <v>31</v>
      </c>
      <c r="G7" s="7" t="s">
        <v>32</v>
      </c>
      <c r="H7" s="8">
        <v>3</v>
      </c>
      <c r="I7" s="8">
        <v>3</v>
      </c>
      <c r="J7" s="8">
        <v>3</v>
      </c>
      <c r="K7" s="8">
        <f t="shared" si="0"/>
        <v>3</v>
      </c>
      <c r="L7" s="7" t="s">
        <v>14</v>
      </c>
      <c r="M7" s="7" t="s">
        <v>15</v>
      </c>
      <c r="N7" s="11" t="s">
        <v>124</v>
      </c>
      <c r="Q7" s="4"/>
    </row>
    <row r="8" spans="1:20" x14ac:dyDescent="0.6">
      <c r="A8" s="7" t="s">
        <v>33</v>
      </c>
      <c r="B8" s="7" t="s">
        <v>34</v>
      </c>
      <c r="C8" s="7" t="s">
        <v>99</v>
      </c>
      <c r="D8" s="7" t="s">
        <v>22</v>
      </c>
      <c r="E8" s="7" t="s">
        <v>35</v>
      </c>
      <c r="F8" s="7" t="s">
        <v>36</v>
      </c>
      <c r="G8" s="7" t="s">
        <v>37</v>
      </c>
      <c r="H8" s="8">
        <v>2</v>
      </c>
      <c r="I8" s="8">
        <v>3</v>
      </c>
      <c r="J8" s="8">
        <v>3</v>
      </c>
      <c r="K8" s="8">
        <f t="shared" si="0"/>
        <v>3</v>
      </c>
      <c r="L8" s="7" t="s">
        <v>26</v>
      </c>
      <c r="M8" s="7" t="s">
        <v>15</v>
      </c>
      <c r="N8" s="11" t="s">
        <v>125</v>
      </c>
      <c r="Q8" s="4"/>
    </row>
    <row r="9" spans="1:20" x14ac:dyDescent="0.6">
      <c r="A9" s="7" t="s">
        <v>38</v>
      </c>
      <c r="B9" s="7" t="s">
        <v>39</v>
      </c>
      <c r="C9" s="7" t="s">
        <v>100</v>
      </c>
      <c r="D9" s="7" t="s">
        <v>10</v>
      </c>
      <c r="E9" s="7" t="s">
        <v>40</v>
      </c>
      <c r="F9" s="7" t="s">
        <v>36</v>
      </c>
      <c r="G9" s="7" t="s">
        <v>41</v>
      </c>
      <c r="H9" s="8">
        <v>2</v>
      </c>
      <c r="I9" s="8">
        <v>2</v>
      </c>
      <c r="J9" s="8">
        <v>2</v>
      </c>
      <c r="K9" s="8">
        <f t="shared" si="0"/>
        <v>2</v>
      </c>
      <c r="L9" s="7" t="s">
        <v>42</v>
      </c>
      <c r="M9" s="7" t="s">
        <v>43</v>
      </c>
      <c r="N9" s="11" t="s">
        <v>126</v>
      </c>
      <c r="Q9" s="4"/>
    </row>
    <row r="10" spans="1:20" x14ac:dyDescent="0.6">
      <c r="A10" s="7" t="s">
        <v>44</v>
      </c>
      <c r="B10" s="7" t="s">
        <v>45</v>
      </c>
      <c r="C10" s="7" t="s">
        <v>101</v>
      </c>
      <c r="D10" s="7" t="s">
        <v>46</v>
      </c>
      <c r="E10" s="7" t="s">
        <v>47</v>
      </c>
      <c r="F10" s="7" t="s">
        <v>36</v>
      </c>
      <c r="G10" s="7" t="s">
        <v>25</v>
      </c>
      <c r="H10" s="8">
        <v>3</v>
      </c>
      <c r="I10" s="8">
        <v>3</v>
      </c>
      <c r="J10" s="8">
        <v>3</v>
      </c>
      <c r="K10" s="8">
        <f t="shared" si="0"/>
        <v>3</v>
      </c>
      <c r="L10" s="7" t="s">
        <v>14</v>
      </c>
      <c r="M10" s="7" t="s">
        <v>15</v>
      </c>
      <c r="N10" s="11" t="s">
        <v>127</v>
      </c>
      <c r="Q10" s="4"/>
    </row>
    <row r="11" spans="1:20" ht="35" x14ac:dyDescent="0.6">
      <c r="A11" s="7" t="s">
        <v>48</v>
      </c>
      <c r="B11" s="7" t="s">
        <v>49</v>
      </c>
      <c r="C11" s="7" t="s">
        <v>102</v>
      </c>
      <c r="D11" s="7" t="s">
        <v>22</v>
      </c>
      <c r="E11" s="7" t="s">
        <v>50</v>
      </c>
      <c r="F11" s="7" t="s">
        <v>36</v>
      </c>
      <c r="G11" s="7" t="s">
        <v>51</v>
      </c>
      <c r="H11" s="8">
        <v>3</v>
      </c>
      <c r="I11" s="8">
        <v>3</v>
      </c>
      <c r="J11" s="8">
        <v>2</v>
      </c>
      <c r="K11" s="8">
        <f t="shared" si="0"/>
        <v>3</v>
      </c>
      <c r="L11" s="7" t="s">
        <v>26</v>
      </c>
      <c r="M11" s="7" t="s">
        <v>15</v>
      </c>
      <c r="N11" s="11" t="s">
        <v>127</v>
      </c>
      <c r="Q11" s="4"/>
    </row>
    <row r="12" spans="1:20" x14ac:dyDescent="0.6">
      <c r="A12" s="7" t="s">
        <v>52</v>
      </c>
      <c r="B12" s="7" t="s">
        <v>53</v>
      </c>
      <c r="C12" s="7" t="s">
        <v>103</v>
      </c>
      <c r="D12" s="7" t="s">
        <v>29</v>
      </c>
      <c r="E12" s="7" t="s">
        <v>54</v>
      </c>
      <c r="F12" s="7" t="s">
        <v>36</v>
      </c>
      <c r="G12" s="7" t="s">
        <v>32</v>
      </c>
      <c r="H12" s="8">
        <v>3</v>
      </c>
      <c r="I12" s="8">
        <v>3</v>
      </c>
      <c r="J12" s="8">
        <v>2</v>
      </c>
      <c r="K12" s="8">
        <f t="shared" si="0"/>
        <v>3</v>
      </c>
      <c r="L12" s="7" t="s">
        <v>14</v>
      </c>
      <c r="M12" s="7" t="s">
        <v>15</v>
      </c>
      <c r="N12" s="11" t="s">
        <v>125</v>
      </c>
      <c r="Q12" s="4"/>
    </row>
    <row r="13" spans="1:20" x14ac:dyDescent="0.6">
      <c r="A13" s="7" t="s">
        <v>55</v>
      </c>
      <c r="B13" s="7" t="s">
        <v>56</v>
      </c>
      <c r="C13" s="7" t="s">
        <v>104</v>
      </c>
      <c r="D13" s="7" t="s">
        <v>22</v>
      </c>
      <c r="E13" s="7" t="s">
        <v>57</v>
      </c>
      <c r="F13" s="7" t="s">
        <v>58</v>
      </c>
      <c r="G13" s="7" t="s">
        <v>25</v>
      </c>
      <c r="H13" s="8">
        <v>2</v>
      </c>
      <c r="I13" s="8">
        <v>2</v>
      </c>
      <c r="J13" s="8">
        <v>3</v>
      </c>
      <c r="K13" s="8">
        <f t="shared" si="0"/>
        <v>3</v>
      </c>
      <c r="L13" s="7" t="s">
        <v>42</v>
      </c>
      <c r="M13" s="7" t="s">
        <v>43</v>
      </c>
      <c r="N13" s="11" t="s">
        <v>126</v>
      </c>
      <c r="Q13" s="4"/>
    </row>
    <row r="14" spans="1:20" x14ac:dyDescent="0.6">
      <c r="A14" s="7" t="s">
        <v>59</v>
      </c>
      <c r="B14" s="7" t="s">
        <v>60</v>
      </c>
      <c r="C14" s="7" t="s">
        <v>105</v>
      </c>
      <c r="D14" s="7" t="s">
        <v>29</v>
      </c>
      <c r="E14" s="7" t="s">
        <v>61</v>
      </c>
      <c r="F14" s="7" t="s">
        <v>58</v>
      </c>
      <c r="G14" s="7" t="s">
        <v>32</v>
      </c>
      <c r="H14" s="8">
        <v>3</v>
      </c>
      <c r="I14" s="8">
        <v>3</v>
      </c>
      <c r="J14" s="8">
        <v>3</v>
      </c>
      <c r="K14" s="8">
        <f t="shared" si="0"/>
        <v>3</v>
      </c>
      <c r="L14" s="7" t="s">
        <v>14</v>
      </c>
      <c r="M14" s="7" t="s">
        <v>15</v>
      </c>
      <c r="N14" s="11" t="s">
        <v>123</v>
      </c>
      <c r="Q14" s="4"/>
    </row>
    <row r="15" spans="1:20" ht="35" x14ac:dyDescent="0.6">
      <c r="A15" s="7" t="s">
        <v>62</v>
      </c>
      <c r="B15" s="7" t="s">
        <v>63</v>
      </c>
      <c r="C15" s="7" t="s">
        <v>106</v>
      </c>
      <c r="D15" s="7" t="s">
        <v>10</v>
      </c>
      <c r="E15" s="7" t="s">
        <v>64</v>
      </c>
      <c r="F15" s="7" t="s">
        <v>58</v>
      </c>
      <c r="G15" s="7" t="s">
        <v>65</v>
      </c>
      <c r="H15" s="8">
        <v>3</v>
      </c>
      <c r="I15" s="8">
        <v>3</v>
      </c>
      <c r="J15" s="8">
        <v>3</v>
      </c>
      <c r="K15" s="8">
        <f t="shared" si="0"/>
        <v>3</v>
      </c>
      <c r="L15" s="7" t="s">
        <v>14</v>
      </c>
      <c r="M15" s="7" t="s">
        <v>15</v>
      </c>
      <c r="N15" s="11" t="s">
        <v>125</v>
      </c>
      <c r="Q15" s="4"/>
    </row>
    <row r="16" spans="1:20" x14ac:dyDescent="0.6">
      <c r="A16" s="7" t="s">
        <v>66</v>
      </c>
      <c r="B16" s="7" t="s">
        <v>67</v>
      </c>
      <c r="C16" s="7" t="s">
        <v>107</v>
      </c>
      <c r="D16" s="7" t="s">
        <v>22</v>
      </c>
      <c r="E16" s="7" t="s">
        <v>68</v>
      </c>
      <c r="F16" s="7" t="s">
        <v>58</v>
      </c>
      <c r="G16" s="7" t="s">
        <v>25</v>
      </c>
      <c r="H16" s="8">
        <v>3</v>
      </c>
      <c r="I16" s="8">
        <v>3</v>
      </c>
      <c r="J16" s="8">
        <v>2</v>
      </c>
      <c r="K16" s="8">
        <f t="shared" si="0"/>
        <v>3</v>
      </c>
      <c r="L16" s="7" t="s">
        <v>26</v>
      </c>
      <c r="M16" s="7" t="s">
        <v>15</v>
      </c>
      <c r="N16" s="11" t="s">
        <v>123</v>
      </c>
      <c r="Q16" s="4"/>
    </row>
    <row r="17" spans="1:17" x14ac:dyDescent="0.6">
      <c r="A17" s="7" t="s">
        <v>69</v>
      </c>
      <c r="B17" s="7" t="s">
        <v>70</v>
      </c>
      <c r="C17" s="7" t="s">
        <v>108</v>
      </c>
      <c r="D17" s="7" t="s">
        <v>22</v>
      </c>
      <c r="E17" s="7" t="s">
        <v>71</v>
      </c>
      <c r="F17" s="7" t="s">
        <v>72</v>
      </c>
      <c r="G17" s="7" t="s">
        <v>25</v>
      </c>
      <c r="H17" s="8">
        <v>2</v>
      </c>
      <c r="I17" s="8">
        <v>2</v>
      </c>
      <c r="J17" s="8">
        <v>3</v>
      </c>
      <c r="K17" s="8">
        <f t="shared" si="0"/>
        <v>3</v>
      </c>
      <c r="L17" s="7" t="s">
        <v>42</v>
      </c>
      <c r="M17" s="7" t="s">
        <v>43</v>
      </c>
      <c r="N17" s="11" t="s">
        <v>126</v>
      </c>
      <c r="Q17" s="4"/>
    </row>
    <row r="18" spans="1:17" x14ac:dyDescent="0.6">
      <c r="A18" s="7" t="s">
        <v>73</v>
      </c>
      <c r="B18" s="7" t="s">
        <v>74</v>
      </c>
      <c r="C18" s="7" t="s">
        <v>109</v>
      </c>
      <c r="D18" s="7" t="s">
        <v>29</v>
      </c>
      <c r="E18" s="7" t="s">
        <v>75</v>
      </c>
      <c r="F18" s="7" t="s">
        <v>76</v>
      </c>
      <c r="G18" s="7" t="s">
        <v>32</v>
      </c>
      <c r="H18" s="8">
        <v>3</v>
      </c>
      <c r="I18" s="8">
        <v>3</v>
      </c>
      <c r="J18" s="8">
        <v>2</v>
      </c>
      <c r="K18" s="8">
        <f t="shared" si="0"/>
        <v>3</v>
      </c>
      <c r="L18" s="7" t="s">
        <v>26</v>
      </c>
      <c r="M18" s="7" t="s">
        <v>15</v>
      </c>
      <c r="N18" s="11" t="s">
        <v>123</v>
      </c>
      <c r="Q18" s="4"/>
    </row>
    <row r="19" spans="1:17" ht="35" x14ac:dyDescent="0.6">
      <c r="A19" s="7" t="s">
        <v>77</v>
      </c>
      <c r="B19" s="7" t="s">
        <v>78</v>
      </c>
      <c r="C19" s="7" t="s">
        <v>110</v>
      </c>
      <c r="D19" s="7" t="s">
        <v>29</v>
      </c>
      <c r="E19" s="7" t="s">
        <v>79</v>
      </c>
      <c r="F19" s="7" t="s">
        <v>76</v>
      </c>
      <c r="G19" s="7" t="s">
        <v>32</v>
      </c>
      <c r="H19" s="8">
        <v>3</v>
      </c>
      <c r="I19" s="8">
        <v>3</v>
      </c>
      <c r="J19" s="8">
        <v>2</v>
      </c>
      <c r="K19" s="8">
        <f t="shared" si="0"/>
        <v>3</v>
      </c>
      <c r="L19" s="7" t="s">
        <v>26</v>
      </c>
      <c r="M19" s="7" t="s">
        <v>15</v>
      </c>
      <c r="N19" s="11" t="s">
        <v>124</v>
      </c>
      <c r="Q19" s="4"/>
    </row>
    <row r="20" spans="1:17" x14ac:dyDescent="0.6">
      <c r="A20" s="7" t="s">
        <v>80</v>
      </c>
      <c r="B20" s="7" t="s">
        <v>81</v>
      </c>
      <c r="C20" s="7" t="s">
        <v>111</v>
      </c>
      <c r="D20" s="7" t="s">
        <v>29</v>
      </c>
      <c r="E20" s="7" t="s">
        <v>82</v>
      </c>
      <c r="F20" s="7" t="s">
        <v>76</v>
      </c>
      <c r="G20" s="7" t="s">
        <v>83</v>
      </c>
      <c r="H20" s="8">
        <v>3</v>
      </c>
      <c r="I20" s="8">
        <v>3</v>
      </c>
      <c r="J20" s="8">
        <v>2</v>
      </c>
      <c r="K20" s="8">
        <f t="shared" si="0"/>
        <v>3</v>
      </c>
      <c r="L20" s="7" t="s">
        <v>14</v>
      </c>
      <c r="M20" s="7" t="s">
        <v>15</v>
      </c>
      <c r="N20" s="11" t="s">
        <v>124</v>
      </c>
      <c r="Q20" s="4"/>
    </row>
    <row r="21" spans="1:17" ht="35" x14ac:dyDescent="0.6">
      <c r="A21" s="7" t="s">
        <v>84</v>
      </c>
      <c r="B21" s="7" t="s">
        <v>85</v>
      </c>
      <c r="C21" s="7" t="s">
        <v>112</v>
      </c>
      <c r="D21" s="7" t="s">
        <v>22</v>
      </c>
      <c r="E21" s="7" t="s">
        <v>86</v>
      </c>
      <c r="F21" s="7" t="s">
        <v>87</v>
      </c>
      <c r="G21" s="7" t="s">
        <v>25</v>
      </c>
      <c r="H21" s="8">
        <v>2</v>
      </c>
      <c r="I21" s="8">
        <v>2</v>
      </c>
      <c r="J21" s="8">
        <v>3</v>
      </c>
      <c r="K21" s="8">
        <f t="shared" si="0"/>
        <v>3</v>
      </c>
      <c r="L21" s="7" t="s">
        <v>42</v>
      </c>
      <c r="M21" s="7" t="s">
        <v>43</v>
      </c>
      <c r="N21" s="11" t="s">
        <v>127</v>
      </c>
      <c r="Q21" s="4"/>
    </row>
    <row r="22" spans="1:17" x14ac:dyDescent="0.6">
      <c r="A22" s="7" t="s">
        <v>88</v>
      </c>
      <c r="B22" s="7" t="s">
        <v>89</v>
      </c>
      <c r="C22" s="7" t="s">
        <v>113</v>
      </c>
      <c r="D22" s="7" t="s">
        <v>29</v>
      </c>
      <c r="E22" s="7" t="s">
        <v>90</v>
      </c>
      <c r="F22" s="7" t="s">
        <v>87</v>
      </c>
      <c r="G22" s="7" t="s">
        <v>32</v>
      </c>
      <c r="H22" s="8">
        <v>2</v>
      </c>
      <c r="I22" s="8">
        <v>2</v>
      </c>
      <c r="J22" s="8">
        <v>2</v>
      </c>
      <c r="K22" s="8">
        <f t="shared" si="0"/>
        <v>2</v>
      </c>
      <c r="L22" s="7" t="s">
        <v>42</v>
      </c>
      <c r="M22" s="7" t="s">
        <v>43</v>
      </c>
      <c r="N22" s="11" t="s">
        <v>128</v>
      </c>
      <c r="Q22" s="4"/>
    </row>
    <row r="23" spans="1:17" x14ac:dyDescent="0.6">
      <c r="A23" s="7" t="s">
        <v>91</v>
      </c>
      <c r="B23" s="7" t="s">
        <v>92</v>
      </c>
      <c r="C23" s="7" t="s">
        <v>114</v>
      </c>
      <c r="D23" s="7" t="s">
        <v>29</v>
      </c>
      <c r="E23" s="7" t="s">
        <v>93</v>
      </c>
      <c r="F23" s="7" t="s">
        <v>87</v>
      </c>
      <c r="G23" s="7" t="s">
        <v>25</v>
      </c>
      <c r="H23" s="8">
        <v>2</v>
      </c>
      <c r="I23" s="8">
        <v>2</v>
      </c>
      <c r="J23" s="8">
        <v>2</v>
      </c>
      <c r="K23" s="8">
        <f t="shared" si="0"/>
        <v>2</v>
      </c>
      <c r="L23" s="7" t="s">
        <v>42</v>
      </c>
      <c r="M23" s="7" t="s">
        <v>43</v>
      </c>
      <c r="N23" s="11" t="s">
        <v>127</v>
      </c>
      <c r="Q23" s="4"/>
    </row>
    <row r="24" spans="1:17" x14ac:dyDescent="0.6">
      <c r="Q24" s="4"/>
    </row>
    <row r="25" spans="1:17" x14ac:dyDescent="0.6">
      <c r="Q25" s="4"/>
    </row>
  </sheetData>
  <mergeCells count="1">
    <mergeCell ref="A2:N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66E7-7441-4A57-BFBA-B71B9C91A249}">
  <dimension ref="C2:R33"/>
  <sheetViews>
    <sheetView topLeftCell="A13" zoomScale="29" zoomScaleNormal="100" workbookViewId="0">
      <selection activeCell="D25" sqref="D25"/>
    </sheetView>
  </sheetViews>
  <sheetFormatPr defaultRowHeight="14.5" x14ac:dyDescent="0.35"/>
  <cols>
    <col min="3" max="3" width="20.453125" customWidth="1"/>
    <col min="4" max="4" width="17.26953125" customWidth="1"/>
    <col min="5" max="5" width="31.26953125" customWidth="1"/>
    <col min="6" max="6" width="21.26953125" customWidth="1"/>
    <col min="7" max="7" width="20" customWidth="1"/>
    <col min="8" max="8" width="26.36328125" customWidth="1"/>
    <col min="9" max="9" width="29" customWidth="1"/>
    <col min="10" max="10" width="28.1796875" customWidth="1"/>
    <col min="11" max="11" width="27.453125" customWidth="1"/>
    <col min="12" max="12" width="20.81640625" customWidth="1"/>
    <col min="13" max="13" width="18" customWidth="1"/>
    <col min="14" max="14" width="18.453125" customWidth="1"/>
    <col min="15" max="15" width="25.7265625" customWidth="1"/>
    <col min="16" max="16" width="18.453125" customWidth="1"/>
    <col min="17" max="17" width="18.1796875" customWidth="1"/>
    <col min="18" max="18" width="17" customWidth="1"/>
  </cols>
  <sheetData>
    <row r="2" spans="3:18" ht="26" x14ac:dyDescent="0.6">
      <c r="C2" s="25" t="s">
        <v>192</v>
      </c>
      <c r="D2" s="25"/>
      <c r="E2" s="25"/>
      <c r="F2" s="25"/>
      <c r="G2" s="25"/>
      <c r="H2" s="25"/>
      <c r="I2" s="25"/>
      <c r="J2" s="25"/>
      <c r="K2" s="25"/>
      <c r="L2" s="25"/>
      <c r="M2" s="25"/>
      <c r="N2" s="25"/>
      <c r="O2" s="25"/>
      <c r="P2" s="25"/>
      <c r="Q2" s="25"/>
      <c r="R2" s="25"/>
    </row>
    <row r="3" spans="3:18" ht="63" x14ac:dyDescent="0.35">
      <c r="C3" s="26" t="s">
        <v>6</v>
      </c>
      <c r="D3" s="26" t="s">
        <v>147</v>
      </c>
      <c r="E3" s="26" t="s">
        <v>148</v>
      </c>
      <c r="F3" s="26" t="s">
        <v>149</v>
      </c>
      <c r="G3" s="26" t="s">
        <v>150</v>
      </c>
      <c r="H3" s="26" t="s">
        <v>193</v>
      </c>
      <c r="I3" s="26" t="s">
        <v>196</v>
      </c>
      <c r="J3" s="26" t="s">
        <v>196</v>
      </c>
      <c r="K3" s="27" t="s">
        <v>201</v>
      </c>
      <c r="L3" s="26" t="s">
        <v>151</v>
      </c>
      <c r="M3" s="26" t="s">
        <v>152</v>
      </c>
      <c r="N3" s="26" t="s">
        <v>153</v>
      </c>
      <c r="O3" s="26" t="s">
        <v>154</v>
      </c>
      <c r="P3" s="26" t="s">
        <v>129</v>
      </c>
      <c r="Q3" s="26" t="s">
        <v>155</v>
      </c>
      <c r="R3" s="26" t="s">
        <v>156</v>
      </c>
    </row>
    <row r="4" spans="3:18" ht="85" customHeight="1" x14ac:dyDescent="0.35">
      <c r="C4" s="28" t="s">
        <v>130</v>
      </c>
      <c r="D4" s="29" t="s">
        <v>119</v>
      </c>
      <c r="E4" s="30" t="s">
        <v>157</v>
      </c>
      <c r="F4" s="30" t="s">
        <v>131</v>
      </c>
      <c r="G4" s="30" t="s">
        <v>131</v>
      </c>
      <c r="H4" s="29" t="s">
        <v>165</v>
      </c>
      <c r="I4" s="29" t="s">
        <v>200</v>
      </c>
      <c r="J4" s="29" t="s">
        <v>200</v>
      </c>
      <c r="K4" s="29" t="s">
        <v>200</v>
      </c>
      <c r="L4" s="29" t="s">
        <v>131</v>
      </c>
      <c r="M4" s="29" t="s">
        <v>131</v>
      </c>
      <c r="N4" s="29" t="s">
        <v>159</v>
      </c>
      <c r="O4" s="29" t="s">
        <v>159</v>
      </c>
      <c r="P4" s="29" t="s">
        <v>160</v>
      </c>
      <c r="Q4" s="29" t="s">
        <v>158</v>
      </c>
      <c r="R4" s="29" t="s">
        <v>161</v>
      </c>
    </row>
    <row r="5" spans="3:18" ht="72" customHeight="1" x14ac:dyDescent="0.35">
      <c r="C5" s="28" t="s">
        <v>42</v>
      </c>
      <c r="D5" s="29" t="s">
        <v>43</v>
      </c>
      <c r="E5" s="30" t="s">
        <v>162</v>
      </c>
      <c r="F5" s="30" t="s">
        <v>163</v>
      </c>
      <c r="G5" s="30" t="s">
        <v>164</v>
      </c>
      <c r="H5" s="29" t="s">
        <v>165</v>
      </c>
      <c r="I5" s="29" t="s">
        <v>197</v>
      </c>
      <c r="J5" s="29" t="s">
        <v>197</v>
      </c>
      <c r="K5" s="29" t="s">
        <v>200</v>
      </c>
      <c r="L5" s="29" t="s">
        <v>166</v>
      </c>
      <c r="M5" s="29" t="s">
        <v>167</v>
      </c>
      <c r="N5" s="29" t="s">
        <v>168</v>
      </c>
      <c r="O5" s="29" t="s">
        <v>169</v>
      </c>
      <c r="P5" s="29" t="s">
        <v>170</v>
      </c>
      <c r="Q5" s="29" t="s">
        <v>171</v>
      </c>
      <c r="R5" s="29" t="s">
        <v>172</v>
      </c>
    </row>
    <row r="6" spans="3:18" ht="57" customHeight="1" x14ac:dyDescent="0.35">
      <c r="C6" s="28" t="s">
        <v>26</v>
      </c>
      <c r="D6" s="29" t="s">
        <v>15</v>
      </c>
      <c r="E6" s="30" t="s">
        <v>173</v>
      </c>
      <c r="F6" s="30" t="s">
        <v>163</v>
      </c>
      <c r="G6" s="30" t="s">
        <v>174</v>
      </c>
      <c r="H6" s="29" t="s">
        <v>194</v>
      </c>
      <c r="I6" s="29" t="s">
        <v>198</v>
      </c>
      <c r="J6" s="31" t="s">
        <v>198</v>
      </c>
      <c r="K6" s="29" t="s">
        <v>14</v>
      </c>
      <c r="L6" s="29" t="s">
        <v>174</v>
      </c>
      <c r="M6" s="29" t="s">
        <v>175</v>
      </c>
      <c r="N6" s="29" t="s">
        <v>176</v>
      </c>
      <c r="O6" s="29" t="s">
        <v>177</v>
      </c>
      <c r="P6" s="29" t="s">
        <v>178</v>
      </c>
      <c r="Q6" s="29" t="s">
        <v>179</v>
      </c>
      <c r="R6" s="29" t="s">
        <v>180</v>
      </c>
    </row>
    <row r="7" spans="3:18" ht="50.5" customHeight="1" x14ac:dyDescent="0.35">
      <c r="C7" s="28" t="s">
        <v>14</v>
      </c>
      <c r="D7" s="29" t="s">
        <v>181</v>
      </c>
      <c r="E7" s="30" t="s">
        <v>182</v>
      </c>
      <c r="F7" s="30" t="s">
        <v>183</v>
      </c>
      <c r="G7" s="30" t="s">
        <v>184</v>
      </c>
      <c r="H7" s="29" t="s">
        <v>195</v>
      </c>
      <c r="I7" s="29" t="s">
        <v>199</v>
      </c>
      <c r="J7" s="32" t="s">
        <v>199</v>
      </c>
      <c r="K7" s="29" t="s">
        <v>202</v>
      </c>
      <c r="L7" s="29" t="s">
        <v>185</v>
      </c>
      <c r="M7" s="29" t="s">
        <v>186</v>
      </c>
      <c r="N7" s="29" t="s">
        <v>187</v>
      </c>
      <c r="O7" s="29" t="s">
        <v>188</v>
      </c>
      <c r="P7" s="29" t="s">
        <v>189</v>
      </c>
      <c r="Q7" s="29" t="s">
        <v>190</v>
      </c>
      <c r="R7" s="29" t="s">
        <v>191</v>
      </c>
    </row>
    <row r="14" spans="3:18" x14ac:dyDescent="0.35">
      <c r="C14" s="33" t="s">
        <v>116</v>
      </c>
      <c r="D14" s="15"/>
      <c r="E14" s="16"/>
      <c r="F14" s="17"/>
      <c r="G14" s="17"/>
    </row>
    <row r="15" spans="3:18" x14ac:dyDescent="0.35">
      <c r="C15" s="18"/>
      <c r="D15" s="15"/>
      <c r="E15" s="16"/>
      <c r="F15" s="17"/>
      <c r="G15" s="17"/>
    </row>
    <row r="16" spans="3:18" x14ac:dyDescent="0.35">
      <c r="C16" s="19">
        <v>1</v>
      </c>
      <c r="D16" s="20" t="s">
        <v>119</v>
      </c>
      <c r="E16" s="21" t="s">
        <v>130</v>
      </c>
      <c r="F16" s="22" t="s">
        <v>132</v>
      </c>
      <c r="G16" s="22"/>
    </row>
    <row r="17" spans="3:7" x14ac:dyDescent="0.35">
      <c r="C17" s="19">
        <v>2</v>
      </c>
      <c r="D17" s="20" t="s">
        <v>43</v>
      </c>
      <c r="E17" s="21" t="s">
        <v>42</v>
      </c>
      <c r="F17" s="22" t="s">
        <v>133</v>
      </c>
      <c r="G17" s="22"/>
    </row>
    <row r="18" spans="3:7" x14ac:dyDescent="0.35">
      <c r="C18" s="19">
        <v>3</v>
      </c>
      <c r="D18" s="20" t="s">
        <v>15</v>
      </c>
      <c r="E18" s="21" t="s">
        <v>26</v>
      </c>
      <c r="F18" s="23" t="s">
        <v>134</v>
      </c>
      <c r="G18" s="24"/>
    </row>
    <row r="19" spans="3:7" x14ac:dyDescent="0.35">
      <c r="C19" s="12"/>
      <c r="D19" s="14"/>
      <c r="E19" s="18"/>
      <c r="F19" s="15"/>
      <c r="G19" s="16"/>
    </row>
    <row r="20" spans="3:7" x14ac:dyDescent="0.35">
      <c r="C20" s="12"/>
      <c r="D20" s="14"/>
      <c r="E20" s="17"/>
      <c r="F20" s="17"/>
      <c r="G20" s="17"/>
    </row>
    <row r="21" spans="3:7" x14ac:dyDescent="0.35">
      <c r="C21" s="34" t="s">
        <v>117</v>
      </c>
      <c r="D21" s="17"/>
      <c r="E21" s="17"/>
      <c r="F21" s="17"/>
      <c r="G21" s="17"/>
    </row>
    <row r="22" spans="3:7" x14ac:dyDescent="0.35">
      <c r="C22" s="17"/>
      <c r="D22" s="17"/>
      <c r="E22" s="17"/>
      <c r="F22" s="17"/>
      <c r="G22" s="17"/>
    </row>
    <row r="23" spans="3:7" ht="115.5" customHeight="1" x14ac:dyDescent="0.35">
      <c r="C23" s="35">
        <v>1</v>
      </c>
      <c r="D23" s="35" t="s">
        <v>119</v>
      </c>
      <c r="E23" s="36" t="s">
        <v>135</v>
      </c>
      <c r="F23" s="36" t="s">
        <v>136</v>
      </c>
      <c r="G23" s="17"/>
    </row>
    <row r="24" spans="3:7" ht="101.5" customHeight="1" x14ac:dyDescent="0.35">
      <c r="C24" s="35">
        <v>2</v>
      </c>
      <c r="D24" s="35" t="s">
        <v>43</v>
      </c>
      <c r="E24" s="36" t="s">
        <v>137</v>
      </c>
      <c r="F24" s="36" t="s">
        <v>138</v>
      </c>
      <c r="G24" s="17"/>
    </row>
    <row r="25" spans="3:7" ht="135.5" customHeight="1" x14ac:dyDescent="0.35">
      <c r="C25" s="35">
        <v>3</v>
      </c>
      <c r="D25" s="35" t="s">
        <v>15</v>
      </c>
      <c r="E25" s="36" t="s">
        <v>139</v>
      </c>
      <c r="F25" s="36" t="s">
        <v>140</v>
      </c>
      <c r="G25" s="17"/>
    </row>
    <row r="26" spans="3:7" x14ac:dyDescent="0.35">
      <c r="C26" s="12"/>
      <c r="D26" s="14"/>
      <c r="E26" s="17"/>
      <c r="F26" s="17"/>
      <c r="G26" s="17"/>
    </row>
    <row r="27" spans="3:7" x14ac:dyDescent="0.35">
      <c r="C27" s="12"/>
      <c r="D27" s="14"/>
      <c r="E27" s="17"/>
      <c r="F27" s="17"/>
      <c r="G27" s="17"/>
    </row>
    <row r="28" spans="3:7" x14ac:dyDescent="0.35">
      <c r="C28" s="34" t="s">
        <v>118</v>
      </c>
      <c r="D28" s="17"/>
      <c r="E28" s="17"/>
      <c r="F28" s="17"/>
      <c r="G28" s="13"/>
    </row>
    <row r="29" spans="3:7" x14ac:dyDescent="0.35">
      <c r="C29" s="12"/>
      <c r="D29" s="12"/>
      <c r="E29" s="12"/>
      <c r="F29" s="12"/>
      <c r="G29" s="13"/>
    </row>
    <row r="30" spans="3:7" ht="105.5" customHeight="1" x14ac:dyDescent="0.35">
      <c r="C30" s="35">
        <v>1</v>
      </c>
      <c r="D30" s="35" t="s">
        <v>119</v>
      </c>
      <c r="E30" s="37" t="s">
        <v>141</v>
      </c>
      <c r="F30" s="37" t="s">
        <v>142</v>
      </c>
      <c r="G30" s="13"/>
    </row>
    <row r="31" spans="3:7" ht="133.5" customHeight="1" x14ac:dyDescent="0.35">
      <c r="C31" s="35">
        <v>2</v>
      </c>
      <c r="D31" s="35" t="s">
        <v>43</v>
      </c>
      <c r="E31" s="37" t="s">
        <v>143</v>
      </c>
      <c r="F31" s="37" t="s">
        <v>144</v>
      </c>
      <c r="G31" s="13"/>
    </row>
    <row r="32" spans="3:7" ht="155.5" customHeight="1" x14ac:dyDescent="0.35">
      <c r="C32" s="35">
        <v>3</v>
      </c>
      <c r="D32" s="35" t="s">
        <v>15</v>
      </c>
      <c r="E32" s="37" t="s">
        <v>145</v>
      </c>
      <c r="F32" s="37" t="s">
        <v>146</v>
      </c>
      <c r="G32" s="13"/>
    </row>
    <row r="33" spans="3:7" x14ac:dyDescent="0.35">
      <c r="C33" s="12"/>
      <c r="D33" s="14"/>
      <c r="E33" s="12"/>
      <c r="F33" s="12"/>
      <c r="G33" s="12"/>
    </row>
  </sheetData>
  <mergeCells count="4">
    <mergeCell ref="F16:G16"/>
    <mergeCell ref="F17:G17"/>
    <mergeCell ref="F18:G18"/>
    <mergeCell ref="C2: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A591-5063-4180-BB26-1FEC5584E8AE}">
  <dimension ref="A1"/>
  <sheetViews>
    <sheetView tabSelected="1" zoomScale="49" workbookViewId="0">
      <selection activeCell="R38" sqref="R38"/>
    </sheetView>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Asset register </vt:lpstr>
      <vt:lpstr>Asset Classification Guidelines</vt: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2026-04-08T12:19:49Z</dcterms:created>
  <dcterms:modified xsi:type="dcterms:W3CDTF">2026-04-25T14:04:06Z</dcterms:modified>
</cp:coreProperties>
</file>