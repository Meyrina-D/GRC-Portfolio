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GCR\"/>
    </mc:Choice>
  </mc:AlternateContent>
  <xr:revisionPtr revIDLastSave="0" documentId="13_ncr:1_{9892071D-CB14-4C74-AFA1-1E62F37C9237}" xr6:coauthVersionLast="36" xr6:coauthVersionMax="36" xr10:uidLastSave="{00000000-0000-0000-0000-000000000000}"/>
  <bookViews>
    <workbookView xWindow="0" yWindow="0" windowWidth="19200" windowHeight="6810" activeTab="3" xr2:uid="{3BDF4244-D23A-4B6F-872A-C90CCC0518F0}"/>
  </bookViews>
  <sheets>
    <sheet name="Risk Register" sheetId="1" r:id="rId1"/>
    <sheet name="Guidelines" sheetId="2" r:id="rId2"/>
    <sheet name="List of Threat &amp; Vulnerability" sheetId="3" r:id="rId3"/>
    <sheet name="Risk Heatmap" sheetId="4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N7" i="1" s="1"/>
  <c r="J7" i="1" s="1"/>
  <c r="M8" i="1"/>
  <c r="N8" i="1" s="1"/>
  <c r="J8" i="1" s="1"/>
  <c r="M11" i="1"/>
  <c r="N11" i="1" s="1"/>
  <c r="J11" i="1" s="1"/>
  <c r="M12" i="1"/>
  <c r="N12" i="1" s="1"/>
  <c r="J12" i="1" s="1"/>
  <c r="M15" i="1"/>
  <c r="N15" i="1" s="1"/>
  <c r="J15" i="1" s="1"/>
  <c r="M16" i="1"/>
  <c r="N16" i="1" s="1"/>
  <c r="J16" i="1" s="1"/>
  <c r="M19" i="1"/>
  <c r="N19" i="1" s="1"/>
  <c r="J19" i="1" s="1"/>
  <c r="M20" i="1"/>
  <c r="N20" i="1" s="1"/>
  <c r="J20" i="1" s="1"/>
  <c r="M23" i="1"/>
  <c r="N23" i="1" s="1"/>
  <c r="J23" i="1" s="1"/>
  <c r="M24" i="1"/>
  <c r="N24" i="1" s="1"/>
  <c r="J24" i="1" s="1"/>
  <c r="M6" i="1"/>
  <c r="N6" i="1" s="1"/>
  <c r="J6" i="1" s="1"/>
  <c r="M25" i="1"/>
  <c r="N25" i="1" s="1"/>
  <c r="J25" i="1" s="1"/>
  <c r="M22" i="1"/>
  <c r="N22" i="1" s="1"/>
  <c r="J22" i="1" s="1"/>
  <c r="M21" i="1"/>
  <c r="N21" i="1" s="1"/>
  <c r="J21" i="1" s="1"/>
  <c r="M18" i="1"/>
  <c r="N18" i="1" s="1"/>
  <c r="J18" i="1" s="1"/>
  <c r="M17" i="1"/>
  <c r="N17" i="1" s="1"/>
  <c r="J17" i="1" s="1"/>
  <c r="M14" i="1"/>
  <c r="N14" i="1" s="1"/>
  <c r="J14" i="1" s="1"/>
  <c r="M13" i="1"/>
  <c r="N13" i="1" s="1"/>
  <c r="J13" i="1" s="1"/>
  <c r="M10" i="1"/>
  <c r="N10" i="1" s="1"/>
  <c r="J10" i="1" s="1"/>
  <c r="M9" i="1"/>
  <c r="N9" i="1" s="1"/>
  <c r="J9" i="1" s="1"/>
</calcChain>
</file>

<file path=xl/sharedStrings.xml><?xml version="1.0" encoding="utf-8"?>
<sst xmlns="http://schemas.openxmlformats.org/spreadsheetml/2006/main" count="504" uniqueCount="402">
  <si>
    <t>Accept</t>
  </si>
  <si>
    <t>Version control system and backups</t>
  </si>
  <si>
    <t>No version control</t>
  </si>
  <si>
    <t>Data Loss</t>
  </si>
  <si>
    <t>Risk of data loss due to lack of version control</t>
  </si>
  <si>
    <t>Tracking Sheet</t>
  </si>
  <si>
    <t>A020</t>
  </si>
  <si>
    <t>R020</t>
  </si>
  <si>
    <t>Data validation and review checks</t>
  </si>
  <si>
    <t>Manual handling</t>
  </si>
  <si>
    <t>Data Error</t>
  </si>
  <si>
    <t>Risk of data errors due to manual handling</t>
  </si>
  <si>
    <t>Business Reports</t>
  </si>
  <si>
    <t>A019</t>
  </si>
  <si>
    <t>R019</t>
  </si>
  <si>
    <t>Mitigate</t>
  </si>
  <si>
    <t>Real-time monitoring and alerting system</t>
  </si>
  <si>
    <t>Server issues</t>
  </si>
  <si>
    <t>System Downtime</t>
  </si>
  <si>
    <t>Risk of downtime due to server issues</t>
  </si>
  <si>
    <t>Operations Dashboard</t>
  </si>
  <si>
    <t>A018</t>
  </si>
  <si>
    <t>R018</t>
  </si>
  <si>
    <t>Secure storage with restricted access controls</t>
  </si>
  <si>
    <t>Improper storage</t>
  </si>
  <si>
    <t>Data Exposure</t>
  </si>
  <si>
    <t>Risk of data exposure due to improper storage</t>
  </si>
  <si>
    <t>Audit Reports</t>
  </si>
  <si>
    <t>A017</t>
  </si>
  <si>
    <t>R017</t>
  </si>
  <si>
    <t>Regular automated backup and secure storage</t>
  </si>
  <si>
    <t>No backup</t>
  </si>
  <si>
    <t>Risk of data loss due to lack of backup</t>
  </si>
  <si>
    <t>Compliance Docs</t>
  </si>
  <si>
    <t>A016</t>
  </si>
  <si>
    <t>R016</t>
  </si>
  <si>
    <t>Restricted access and audit logging</t>
  </si>
  <si>
    <t>No access restriction</t>
  </si>
  <si>
    <t>Data Manipulation</t>
  </si>
  <si>
    <t>Risk of data manipulation due to lack of access restriction</t>
  </si>
  <si>
    <t>Risk Register</t>
  </si>
  <si>
    <t>A015</t>
  </si>
  <si>
    <t>R015</t>
  </si>
  <si>
    <t>Strong password enforcement and access control</t>
  </si>
  <si>
    <t>Weak credentials</t>
  </si>
  <si>
    <t>Unauthorized Access</t>
  </si>
  <si>
    <t>Risk of unauthorized access due to weak credentials</t>
  </si>
  <si>
    <t>Support System</t>
  </si>
  <si>
    <t>A014</t>
  </si>
  <si>
    <t>R014</t>
  </si>
  <si>
    <t>Access control review and permission management</t>
  </si>
  <si>
    <t>Misconfigured permissions</t>
  </si>
  <si>
    <t>Data Leakage</t>
  </si>
  <si>
    <t>Risk of data leakage due to misconfigured permissions</t>
  </si>
  <si>
    <t>CRM System</t>
  </si>
  <si>
    <t>A013</t>
  </si>
  <si>
    <t>R013</t>
  </si>
  <si>
    <t>Failover systems and redundancy implementation</t>
  </si>
  <si>
    <t>No redundancy</t>
  </si>
  <si>
    <t>System Failure</t>
  </si>
  <si>
    <t>Risk of system failure due to lack of redundancy</t>
  </si>
  <si>
    <t>Implementation Server</t>
  </si>
  <si>
    <t>A012</t>
  </si>
  <si>
    <t>R012</t>
  </si>
  <si>
    <t>Encryption and strict access control policies</t>
  </si>
  <si>
    <t>Weak access control</t>
  </si>
  <si>
    <t>Data Breach</t>
  </si>
  <si>
    <t>Risk of data breach due to weak access control</t>
  </si>
  <si>
    <t>Client Database</t>
  </si>
  <si>
    <t>A011</t>
  </si>
  <si>
    <t>R011</t>
  </si>
  <si>
    <t>Regular automated backups with recovery testing</t>
  </si>
  <si>
    <t>Project Mgmt Tool</t>
  </si>
  <si>
    <t>A010</t>
  </si>
  <si>
    <t>R010</t>
  </si>
  <si>
    <t>Log monitoring with hashing and integrity validation</t>
  </si>
  <si>
    <t>No integrity checks</t>
  </si>
  <si>
    <t>Log Tampering</t>
  </si>
  <si>
    <t>Risk of log tampering due to lack of integrity checks</t>
  </si>
  <si>
    <t>Security Logs</t>
  </si>
  <si>
    <t>A009</t>
  </si>
  <si>
    <t>R009</t>
  </si>
  <si>
    <t>Restricted access with role-based permissions</t>
  </si>
  <si>
    <t>Lack of access control</t>
  </si>
  <si>
    <t>Unauthorized Use</t>
  </si>
  <si>
    <t>Risk of unauthorized use due to lack of access control</t>
  </si>
  <si>
    <t>Pen Testing Toolkit</t>
  </si>
  <si>
    <t>A008</t>
  </si>
  <si>
    <t>R008</t>
  </si>
  <si>
    <t>Transfer</t>
  </si>
  <si>
    <t>Backup systems and SLA agreements</t>
  </si>
  <si>
    <t>Dependency on provider</t>
  </si>
  <si>
    <t>Service Downtime</t>
  </si>
  <si>
    <t>Risk of downtime due to dependency on provider</t>
  </si>
  <si>
    <t>Cloud Infrastructure</t>
  </si>
  <si>
    <t>A007</t>
  </si>
  <si>
    <t>R007</t>
  </si>
  <si>
    <t>Device lock, asset tagging, and tracking</t>
  </si>
  <si>
    <t>No physical security</t>
  </si>
  <si>
    <t>Device Theft</t>
  </si>
  <si>
    <t>Risk of device theft due to lack of physical security</t>
  </si>
  <si>
    <t>IT Support Laptop</t>
  </si>
  <si>
    <t>A006</t>
  </si>
  <si>
    <t>R006</t>
  </si>
  <si>
    <t>Regular configuration review and validation</t>
  </si>
  <si>
    <t>Misconfiguration</t>
  </si>
  <si>
    <t>Tool Failure</t>
  </si>
  <si>
    <t>Risk of failure due to misconfiguration</t>
  </si>
  <si>
    <t>Security Monitoring Tool</t>
  </si>
  <si>
    <t>A005</t>
  </si>
  <si>
    <t>R005</t>
  </si>
  <si>
    <t>Encryption and multi-factor authentication</t>
  </si>
  <si>
    <t>Weak authentication</t>
  </si>
  <si>
    <t>Risk of unauthorized access due to weak authentication</t>
  </si>
  <si>
    <t>Finance Database</t>
  </si>
  <si>
    <t>A004</t>
  </si>
  <si>
    <t>R004</t>
  </si>
  <si>
    <t>Role-based access control implementation</t>
  </si>
  <si>
    <t>Improper access control</t>
  </si>
  <si>
    <t>Risk of data leakage due to improper access control</t>
  </si>
  <si>
    <t>HR System</t>
  </si>
  <si>
    <t>A003</t>
  </si>
  <si>
    <t>R003</t>
  </si>
  <si>
    <t>Antivirus protection and regular patch updates</t>
  </si>
  <si>
    <t>Unpatched system</t>
  </si>
  <si>
    <t>Malware Attack</t>
  </si>
  <si>
    <t>Risk of malware attack due to unpatched system</t>
  </si>
  <si>
    <t>CTO Laptop</t>
  </si>
  <si>
    <t>A002</t>
  </si>
  <si>
    <t>R002</t>
  </si>
  <si>
    <t>Strong password policy with MFA enforcement</t>
  </si>
  <si>
    <t>Weak password</t>
  </si>
  <si>
    <t>Data Theft</t>
  </si>
  <si>
    <t>Risk of data theft due to weak password</t>
  </si>
  <si>
    <t>CEO Laptop</t>
  </si>
  <si>
    <t>A001</t>
  </si>
  <si>
    <t>R001</t>
  </si>
  <si>
    <t>Risk Treatment</t>
  </si>
  <si>
    <t>Control</t>
  </si>
  <si>
    <t>Risk Level</t>
  </si>
  <si>
    <t>Likelihood</t>
  </si>
  <si>
    <t>Vulnerability</t>
  </si>
  <si>
    <t>Threat</t>
  </si>
  <si>
    <t>Risk Description</t>
  </si>
  <si>
    <t>Asset Name</t>
  </si>
  <si>
    <t>Asset ID</t>
  </si>
  <si>
    <t>Risk ID</t>
  </si>
  <si>
    <t>RISK REGISTER</t>
  </si>
  <si>
    <t>Risk Category</t>
  </si>
  <si>
    <t>Digital</t>
  </si>
  <si>
    <t>Governance</t>
  </si>
  <si>
    <t>Operational</t>
  </si>
  <si>
    <t xml:space="preserve">Technical </t>
  </si>
  <si>
    <t xml:space="preserve">Physical </t>
  </si>
  <si>
    <t xml:space="preserve">Digital </t>
  </si>
  <si>
    <t>Remediation  Actions</t>
  </si>
  <si>
    <t>Target Date</t>
  </si>
  <si>
    <t>Justification if Risk Accepted</t>
  </si>
  <si>
    <t>Risk Owner</t>
  </si>
  <si>
    <t>Observations</t>
  </si>
  <si>
    <t>Enforce MFA, reset all weak passwords, implement password complexity rules, and conduct immediate password audit</t>
  </si>
  <si>
    <t>Apply latest OS and software patches, enable automatic updates, and run full system vulnerability scan</t>
  </si>
  <si>
    <t>Review all user roles, remove excessive permissions, implement RBAC, and audit access logs</t>
  </si>
  <si>
    <t>Enable MFA for all users, enforce strong authentication policies, and encrypt sensitive financial data</t>
  </si>
  <si>
    <t>Review current configurations, correct misconfigurations, and validate tool functionality through testing</t>
  </si>
  <si>
    <t>Implement device locking, enable tracking software, and assign asset tags for identification</t>
  </si>
  <si>
    <t>Establish backup environment, configure failover mechanisms, and review SLA with provider</t>
  </si>
  <si>
    <t>Restrict access to authorized users, implement authentication controls, and maintain usage logs</t>
  </si>
  <si>
    <t>Enable log integrity checks (hashing), restrict access, and implement centralized log monitoring</t>
  </si>
  <si>
    <t>Configure automated backups, test data recovery process, and ensure backup retention policy</t>
  </si>
  <si>
    <t>Encrypt sensitive data, enforce strict access controls, and conduct periodic access reviews</t>
  </si>
  <si>
    <t>Implement redundancy and failover systems, and test system recovery mechanisms</t>
  </si>
  <si>
    <t>Review permission settings, correct misconfigurations, and enforce least privilege access</t>
  </si>
  <si>
    <t>Enforce strong password policy, enable MFA, and remove inactive or weak accounts</t>
  </si>
  <si>
    <t>Restrict editing access, enable version control, and maintain audit logs of changes</t>
  </si>
  <si>
    <t>Implement secure backup solution, ensure document encryption, and restrict unauthorized access</t>
  </si>
  <si>
    <t>Store reports in secure location, restrict access, and apply encryption where required</t>
  </si>
  <si>
    <t>Set up real-time monitoring, configure alerts, and ensure server health checks</t>
  </si>
  <si>
    <t>Implement data validation rules, reduce manual intervention, and introduce review workflow</t>
  </si>
  <si>
    <t>Enable version control system, maintain backup copies, and restrict editing permissions</t>
  </si>
  <si>
    <t>14/05/2027</t>
  </si>
  <si>
    <t>16/05/2027</t>
  </si>
  <si>
    <t>18/05/2027</t>
  </si>
  <si>
    <t>20/05/2027</t>
  </si>
  <si>
    <t>22/05/2027</t>
  </si>
  <si>
    <t>24/05/2027</t>
  </si>
  <si>
    <t>26/05/2027</t>
  </si>
  <si>
    <t>28/05/2027</t>
  </si>
  <si>
    <t>30/05/2027</t>
  </si>
  <si>
    <t>13/06/2027</t>
  </si>
  <si>
    <t>15/06/2027</t>
  </si>
  <si>
    <t>17/06/2027</t>
  </si>
  <si>
    <t>N/A</t>
  </si>
  <si>
    <t>Teddy Yu</t>
  </si>
  <si>
    <t>IT Support Engineer</t>
  </si>
  <si>
    <t>HR &amp; Finance Specialist</t>
  </si>
  <si>
    <t>Security Engineer</t>
  </si>
  <si>
    <t>Cloud Security Engineer</t>
  </si>
  <si>
    <t>Penetration Testing Specialist</t>
  </si>
  <si>
    <t>Security Analyst</t>
  </si>
  <si>
    <t>Project Manager</t>
  </si>
  <si>
    <t>Service Delivery Manager</t>
  </si>
  <si>
    <t>Cloud Implementation Engineer</t>
  </si>
  <si>
    <t>Business Operations Manager</t>
  </si>
  <si>
    <t>Customer Support Executive</t>
  </si>
  <si>
    <t>ISMS Lead</t>
  </si>
  <si>
    <t>Compliance Specialist</t>
  </si>
  <si>
    <t>Security Auditor</t>
  </si>
  <si>
    <t>Operations Coordinator</t>
  </si>
  <si>
    <t>Finance &amp; Admin Executive</t>
  </si>
  <si>
    <t xml:space="preserve">Business Analyst </t>
  </si>
  <si>
    <t xml:space="preserve">Risk Owner Reference Table </t>
  </si>
  <si>
    <t>Role</t>
  </si>
  <si>
    <t>Reese Miller</t>
  </si>
  <si>
    <t>Rohith Varma</t>
  </si>
  <si>
    <t>Karthick</t>
  </si>
  <si>
    <t>Ananya</t>
  </si>
  <si>
    <t>Penetration Testing &amp; Incident Response Specialist</t>
  </si>
  <si>
    <t>Vidhya</t>
  </si>
  <si>
    <t>Connor Hamilton</t>
  </si>
  <si>
    <t>Mahendran</t>
  </si>
  <si>
    <t>Nick Sharma</t>
  </si>
  <si>
    <t>Amith</t>
  </si>
  <si>
    <t>Reena</t>
  </si>
  <si>
    <t>Sanjay Patel</t>
  </si>
  <si>
    <t>Rufus Stewart</t>
  </si>
  <si>
    <t>Sunil</t>
  </si>
  <si>
    <t>Operations Coordinator / Finance &amp; Admin Executive</t>
  </si>
  <si>
    <t>Ajmal</t>
  </si>
  <si>
    <t>Business Analyst</t>
  </si>
  <si>
    <t>Critical executive asset; high exposure due to privileged access</t>
  </si>
  <si>
    <t>System security dependent on timely patching; currently vulnerable</t>
  </si>
  <si>
    <t>Sensitive HR data; access control weaknesses increase privacy risk</t>
  </si>
  <si>
    <t>Highly critical financial data; strong protection required</t>
  </si>
  <si>
    <t>Tool reliability depends on correct configuration; needs regular validation</t>
  </si>
  <si>
    <t>Portable device with higher theft risk; physical controls required</t>
  </si>
  <si>
    <t>External dependency introduces availability and vendor risk</t>
  </si>
  <si>
    <t>High-risk tool; misuse can cause serious security impact</t>
  </si>
  <si>
    <t>Integrity of logs is essential for incident detection and audits</t>
  </si>
  <si>
    <t>Lack of backup impacts project continuity and recovery capability</t>
  </si>
  <si>
    <t>Contains highly sensitive client data; breach impact is severe</t>
  </si>
  <si>
    <t>System availability risk due to lack of redundancy</t>
  </si>
  <si>
    <t>Misconfigured permissions can lead to unintended data exposure</t>
  </si>
  <si>
    <t>Weak credentials increase risk of unauthorized access</t>
  </si>
  <si>
    <t>Integrity of risk records is critical for compliance and audits</t>
  </si>
  <si>
    <t>Compliance data loss can lead to regulatory issues</t>
  </si>
  <si>
    <t>Improper storage may expose confidential audit findings</t>
  </si>
  <si>
    <t>System downtime affects operational visibility and decision-making</t>
  </si>
  <si>
    <t>Manual process increases chances of human error</t>
  </si>
  <si>
    <t>Lack of version control may lead to data inconsistency</t>
  </si>
  <si>
    <t>Risk Evaluation</t>
  </si>
  <si>
    <t>Others</t>
  </si>
  <si>
    <t>Impact minimal; controls in place are adequate</t>
  </si>
  <si>
    <t>Minimal risk; improvements planned; existing controls adequate</t>
  </si>
  <si>
    <t>1. Risk Rating Methodology</t>
  </si>
  <si>
    <t>Risk is calculated using the following formula:</t>
  </si>
  <si>
    <t>Risk Rating = Impact (I) × Likelihood (L) × Asset Value (A)</t>
  </si>
  <si>
    <t>Where:</t>
  </si>
  <si>
    <r>
      <t>Impact (I):</t>
    </r>
    <r>
      <rPr>
        <sz val="12"/>
        <color theme="1"/>
        <rFont val="Cambria"/>
        <family val="1"/>
      </rPr>
      <t xml:space="preserve"> Severity of consequence if the risk occurs</t>
    </r>
  </si>
  <si>
    <r>
      <t>Likelihood (L):</t>
    </r>
    <r>
      <rPr>
        <sz val="12"/>
        <color theme="1"/>
        <rFont val="Cambria"/>
        <family val="1"/>
      </rPr>
      <t xml:space="preserve"> Probability of occurrence</t>
    </r>
  </si>
  <si>
    <r>
      <t>Asset Value (A):</t>
    </r>
    <r>
      <rPr>
        <sz val="12"/>
        <color theme="1"/>
        <rFont val="Cambria"/>
        <family val="1"/>
      </rPr>
      <t xml:space="preserve"> Criticality of the asset</t>
    </r>
  </si>
  <si>
    <t>Risk Rating Range</t>
  </si>
  <si>
    <t>Qualitative Level</t>
  </si>
  <si>
    <t>Definition</t>
  </si>
  <si>
    <t>51 – 75</t>
  </si>
  <si>
    <t>High</t>
  </si>
  <si>
    <t>Controls are partially effective; risk is significant and requires immediate treatment or transfer</t>
  </si>
  <si>
    <t>26 – 50</t>
  </si>
  <si>
    <t>Medium</t>
  </si>
  <si>
    <t>Controls are insufficient; improvement or additional controls are required</t>
  </si>
  <si>
    <t>0 – 25</t>
  </si>
  <si>
    <t>Low</t>
  </si>
  <si>
    <t>Risk is low; existing controls are adequate or risk can be accepted</t>
  </si>
  <si>
    <t>Risk Value</t>
  </si>
  <si>
    <t>Description</t>
  </si>
  <si>
    <t>High impact risk; must be treated or transferred immediately</t>
  </si>
  <si>
    <t>Moderate risk; should be treated or transferred; justification required if accepted</t>
  </si>
  <si>
    <t>Low risk; can be accepted with monitoring</t>
  </si>
  <si>
    <t>4. Risk Impact Scale</t>
  </si>
  <si>
    <t>Value</t>
  </si>
  <si>
    <t>Impact Level</t>
  </si>
  <si>
    <t>Catastrophic</t>
  </si>
  <si>
    <t>Major</t>
  </si>
  <si>
    <t>Moderate</t>
  </si>
  <si>
    <t>Minor</t>
  </si>
  <si>
    <t>Negligible</t>
  </si>
  <si>
    <t>Severe business impact</t>
  </si>
  <si>
    <t>High impact</t>
  </si>
  <si>
    <t>Noticeable impact</t>
  </si>
  <si>
    <t>Low impact</t>
  </si>
  <si>
    <t>Minimal Impact</t>
  </si>
  <si>
    <t>Impact (I)</t>
  </si>
  <si>
    <t>Asset Risk Value (A)</t>
  </si>
  <si>
    <t xml:space="preserve"> </t>
  </si>
  <si>
    <t>Almost Certain</t>
  </si>
  <si>
    <t>Very frequent</t>
  </si>
  <si>
    <t>Probable</t>
  </si>
  <si>
    <t>Likely</t>
  </si>
  <si>
    <t>Possible</t>
  </si>
  <si>
    <t>Occasional</t>
  </si>
  <si>
    <t>Unlikely</t>
  </si>
  <si>
    <t>Rare</t>
  </si>
  <si>
    <t>Very rare</t>
  </si>
  <si>
    <t>5. Risk Likelihood Table</t>
  </si>
  <si>
    <t>High impact. Risk needs to be treated/ transferred</t>
  </si>
  <si>
    <t>Medium impact. Risk needs to be treated/ transferred. Justification required for Risk acceptance</t>
  </si>
  <si>
    <t>Low impact. Risk can be accepted.</t>
  </si>
  <si>
    <t>2. Risk Level- Inherent Risk and Residual Risk</t>
  </si>
  <si>
    <t>3. Risk Rating Scale and Classification</t>
  </si>
  <si>
    <t xml:space="preserve">4. Risk Level Guidance </t>
  </si>
  <si>
    <t>Likelihood (L)</t>
  </si>
  <si>
    <t>Risk Rating = I*L*A</t>
  </si>
  <si>
    <t>Category</t>
  </si>
  <si>
    <t>Hardware</t>
  </si>
  <si>
    <t>Equipment Failure</t>
  </si>
  <si>
    <t>Inadequate maintenance</t>
  </si>
  <si>
    <t>Power Failure</t>
  </si>
  <si>
    <t>Voltage fluctuations</t>
  </si>
  <si>
    <t>Theft of Equipment</t>
  </si>
  <si>
    <t>Lack of physical security</t>
  </si>
  <si>
    <t>Environmental Damage</t>
  </si>
  <si>
    <t>Temperature / humidity issues</t>
  </si>
  <si>
    <t>Fire</t>
  </si>
  <si>
    <t>Inadequate fire protection</t>
  </si>
  <si>
    <t>Water Damage</t>
  </si>
  <si>
    <t>Poor facility protection</t>
  </si>
  <si>
    <t>Tampering</t>
  </si>
  <si>
    <t>Media Loss</t>
  </si>
  <si>
    <t>Improper disposal</t>
  </si>
  <si>
    <t>Malware</t>
  </si>
  <si>
    <t>Unpatched systems</t>
  </si>
  <si>
    <t>Data Corruption</t>
  </si>
  <si>
    <t>Poor validation</t>
  </si>
  <si>
    <t>Software Failure</t>
  </si>
  <si>
    <t>Poor testing</t>
  </si>
  <si>
    <t>Uncontrolled changes</t>
  </si>
  <si>
    <t>Pirated Software</t>
  </si>
  <si>
    <t>Lack of compliance control</t>
  </si>
  <si>
    <t>Key Logging</t>
  </si>
  <si>
    <t>Insecure systems</t>
  </si>
  <si>
    <t>Application Error</t>
  </si>
  <si>
    <t>Poor configuration</t>
  </si>
  <si>
    <t>Network</t>
  </si>
  <si>
    <t>Network Intrusion</t>
  </si>
  <si>
    <t>Weak firewall</t>
  </si>
  <si>
    <t>DoS Attack</t>
  </si>
  <si>
    <t>Insecure architecture</t>
  </si>
  <si>
    <t>Eavesdropping</t>
  </si>
  <si>
    <t>Unencrypted communication</t>
  </si>
  <si>
    <t>Data Interception</t>
  </si>
  <si>
    <t>Exposed network</t>
  </si>
  <si>
    <t>Routing Issues</t>
  </si>
  <si>
    <t>Poor network design</t>
  </si>
  <si>
    <t>Overload</t>
  </si>
  <si>
    <t>Lack of capacity planning</t>
  </si>
  <si>
    <t>People</t>
  </si>
  <si>
    <t>Human Error</t>
  </si>
  <si>
    <t>Lack of training</t>
  </si>
  <si>
    <t>Social Engineering</t>
  </si>
  <si>
    <t>Low awareness</t>
  </si>
  <si>
    <t>Insider Threat</t>
  </si>
  <si>
    <t>Excess privileges</t>
  </si>
  <si>
    <t>Fraud</t>
  </si>
  <si>
    <t>Lack of monitoring</t>
  </si>
  <si>
    <t>Misuse of Systems</t>
  </si>
  <si>
    <t>No policies</t>
  </si>
  <si>
    <t>Poor access control</t>
  </si>
  <si>
    <t>Negligence</t>
  </si>
  <si>
    <t>Lack of accountability</t>
  </si>
  <si>
    <t>Physical</t>
  </si>
  <si>
    <t>Theft</t>
  </si>
  <si>
    <t>Weak physical security</t>
  </si>
  <si>
    <t>Unauthorized Entry</t>
  </si>
  <si>
    <t>No access control</t>
  </si>
  <si>
    <t>Natural Disaster</t>
  </si>
  <si>
    <t>Unsafe location</t>
  </si>
  <si>
    <t>No fire detection</t>
  </si>
  <si>
    <t>Flood</t>
  </si>
  <si>
    <t>Poor infrastructure</t>
  </si>
  <si>
    <t>Power Loss</t>
  </si>
  <si>
    <t>No backup power</t>
  </si>
  <si>
    <t>Policy Violation</t>
  </si>
  <si>
    <t>Lack of policies</t>
  </si>
  <si>
    <t>Non-compliance</t>
  </si>
  <si>
    <t>Weak controls</t>
  </si>
  <si>
    <t>No audit trail</t>
  </si>
  <si>
    <t>Poor Risk Management</t>
  </si>
  <si>
    <t>No assessment process</t>
  </si>
  <si>
    <t>Audit Failure</t>
  </si>
  <si>
    <t>Poor documentation</t>
  </si>
  <si>
    <t>Access Mismanagement</t>
  </si>
  <si>
    <t>No review process</t>
  </si>
  <si>
    <t xml:space="preserve">Software </t>
  </si>
  <si>
    <t>Impact</t>
  </si>
  <si>
    <t>Risk Score = Impact (I) × Likelihood (L) × Asset Value (A)</t>
  </si>
  <si>
    <t>Score</t>
  </si>
  <si>
    <t>Level</t>
  </si>
  <si>
    <t>51–75</t>
  </si>
  <si>
    <t>26–50</t>
  </si>
  <si>
    <t>0–25</t>
  </si>
  <si>
    <t>1.  Formula Used</t>
  </si>
  <si>
    <t xml:space="preserve">2. Risk Classification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</si>
</sst>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Cambria"/>
      <family val="1"/>
    </font>
    <font>
      <b/>
      <sz val="16"/>
      <color theme="1"/>
      <name val="Cambria"/>
      <family val="1"/>
    </font>
    <font>
      <b/>
      <sz val="18"/>
      <color theme="1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0"/>
      <name val="Arial"/>
      <family val="2"/>
    </font>
    <font>
      <sz val="10"/>
      <name val="Cambria"/>
      <family val="1"/>
    </font>
    <font>
      <b/>
      <sz val="18"/>
      <color theme="0"/>
      <name val="Cambria"/>
      <family val="1"/>
    </font>
    <font>
      <b/>
      <sz val="22"/>
      <color theme="0"/>
      <name val="Cambria"/>
      <family val="1"/>
    </font>
    <font>
      <sz val="18"/>
      <color theme="1"/>
      <name val="Cambria"/>
      <family val="1"/>
    </font>
    <font>
      <b/>
      <sz val="11"/>
      <color theme="0"/>
      <name val="Cambria"/>
      <family val="1"/>
    </font>
    <font>
      <sz val="11"/>
      <color theme="0"/>
      <name val="Cambria"/>
      <family val="1"/>
    </font>
    <font>
      <b/>
      <sz val="14"/>
      <color theme="0"/>
      <name val="Cambria"/>
      <family val="1"/>
    </font>
    <font>
      <sz val="14"/>
      <color theme="0"/>
      <name val="Cambria"/>
      <family val="1"/>
    </font>
    <font>
      <b/>
      <sz val="12"/>
      <color theme="0"/>
      <name val="Cambria"/>
      <family val="1"/>
    </font>
    <font>
      <sz val="12"/>
      <color theme="0"/>
      <name val="Cambria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5A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8" borderId="1" xfId="0" applyFont="1" applyFill="1" applyBorder="1"/>
    <xf numFmtId="0" fontId="5" fillId="6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0" xfId="1" applyFont="1"/>
    <xf numFmtId="0" fontId="12" fillId="7" borderId="1" xfId="1" applyFont="1" applyFill="1" applyBorder="1"/>
    <xf numFmtId="0" fontId="12" fillId="0" borderId="17" xfId="1" applyFont="1" applyBorder="1" applyAlignment="1">
      <alignment horizontal="left" vertical="top"/>
    </xf>
    <xf numFmtId="0" fontId="12" fillId="0" borderId="15" xfId="1" applyFont="1" applyBorder="1" applyAlignment="1">
      <alignment horizontal="left" wrapText="1"/>
    </xf>
    <xf numFmtId="0" fontId="12" fillId="0" borderId="16" xfId="1" applyFont="1" applyBorder="1" applyAlignment="1">
      <alignment horizontal="left"/>
    </xf>
    <xf numFmtId="0" fontId="12" fillId="8" borderId="1" xfId="1" applyFont="1" applyFill="1" applyBorder="1"/>
    <xf numFmtId="0" fontId="12" fillId="6" borderId="1" xfId="1" applyFont="1" applyFill="1" applyBorder="1"/>
    <xf numFmtId="0" fontId="10" fillId="0" borderId="0" xfId="0" applyFont="1"/>
    <xf numFmtId="0" fontId="13" fillId="4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5" fillId="0" borderId="1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9" fillId="2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6" fillId="2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vertical="center"/>
    </xf>
    <xf numFmtId="0" fontId="19" fillId="9" borderId="0" xfId="0" applyFont="1" applyFill="1"/>
    <xf numFmtId="0" fontId="17" fillId="9" borderId="0" xfId="0" applyFont="1" applyFill="1"/>
    <xf numFmtId="0" fontId="20" fillId="9" borderId="0" xfId="1" applyFont="1" applyFill="1"/>
    <xf numFmtId="0" fontId="21" fillId="9" borderId="0" xfId="1" applyFont="1" applyFill="1"/>
    <xf numFmtId="0" fontId="4" fillId="9" borderId="0" xfId="0" applyFont="1" applyFill="1"/>
    <xf numFmtId="0" fontId="18" fillId="9" borderId="0" xfId="0" applyFont="1" applyFill="1"/>
    <xf numFmtId="0" fontId="2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23" fillId="0" borderId="0" xfId="0" applyFont="1"/>
    <xf numFmtId="0" fontId="0" fillId="0" borderId="0" xfId="0" applyFont="1"/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2" fillId="11" borderId="18" xfId="0" applyFont="1" applyFill="1" applyBorder="1"/>
    <xf numFmtId="0" fontId="0" fillId="11" borderId="0" xfId="0" applyFill="1" applyBorder="1"/>
    <xf numFmtId="0" fontId="2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vertical="center"/>
    </xf>
    <xf numFmtId="0" fontId="4" fillId="11" borderId="1" xfId="0" applyFont="1" applyFill="1" applyBorder="1"/>
    <xf numFmtId="0" fontId="14" fillId="6" borderId="1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12" fillId="0" borderId="1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22" fillId="11" borderId="16" xfId="0" applyFont="1" applyFill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0" fillId="9" borderId="0" xfId="0" applyFill="1"/>
  </cellXfs>
  <cellStyles count="2">
    <cellStyle name="Normal" xfId="0" builtinId="0"/>
    <cellStyle name="Normal 2" xfId="1" xr:uid="{3732BF9E-40EA-42D4-9D4E-F799D03A26F3}"/>
  </cellStyles>
  <dxfs count="10"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81206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66"/>
        </patternFill>
      </fill>
    </dxf>
    <dxf>
      <fill>
        <patternFill>
          <bgColor rgb="FFEB5335"/>
        </patternFill>
      </fill>
    </dxf>
    <dxf>
      <fill>
        <patternFill>
          <bgColor rgb="FFFF5A33"/>
        </patternFill>
      </fill>
    </dxf>
    <dxf>
      <fill>
        <patternFill>
          <bgColor rgb="FFFFFF66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5A33"/>
      <color rgb="FFF81206"/>
      <color rgb="FFFFFF66"/>
      <color rgb="FFEB5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%20Regi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Control"/>
      <sheetName val="Asset register "/>
      <sheetName val="Asset Classification Guidelines"/>
    </sheetNames>
    <sheetDataSet>
      <sheetData sheetId="0"/>
      <sheetData sheetId="1">
        <row r="4">
          <cell r="K4">
            <v>3</v>
          </cell>
        </row>
        <row r="5">
          <cell r="K5">
            <v>3</v>
          </cell>
        </row>
        <row r="6">
          <cell r="K6">
            <v>3</v>
          </cell>
        </row>
        <row r="7">
          <cell r="K7">
            <v>3</v>
          </cell>
        </row>
        <row r="8">
          <cell r="K8">
            <v>3</v>
          </cell>
        </row>
        <row r="9">
          <cell r="K9">
            <v>2</v>
          </cell>
        </row>
        <row r="10">
          <cell r="K10">
            <v>3</v>
          </cell>
        </row>
        <row r="11">
          <cell r="K11">
            <v>3</v>
          </cell>
        </row>
        <row r="12">
          <cell r="K12">
            <v>3</v>
          </cell>
        </row>
        <row r="13">
          <cell r="K13">
            <v>3</v>
          </cell>
        </row>
        <row r="14">
          <cell r="K14">
            <v>3</v>
          </cell>
        </row>
        <row r="15">
          <cell r="K15">
            <v>3</v>
          </cell>
        </row>
        <row r="16">
          <cell r="K16">
            <v>3</v>
          </cell>
        </row>
        <row r="17">
          <cell r="K17">
            <v>3</v>
          </cell>
        </row>
        <row r="18">
          <cell r="K18">
            <v>3</v>
          </cell>
        </row>
        <row r="19">
          <cell r="K19">
            <v>3</v>
          </cell>
        </row>
        <row r="20">
          <cell r="K20">
            <v>3</v>
          </cell>
        </row>
        <row r="21">
          <cell r="K21">
            <v>3</v>
          </cell>
        </row>
        <row r="22">
          <cell r="K22">
            <v>2</v>
          </cell>
        </row>
        <row r="23">
          <cell r="K23">
            <v>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E277-5331-4EC2-A64C-E9C0C1BD737B}">
  <dimension ref="C3:X65"/>
  <sheetViews>
    <sheetView topLeftCell="A27" zoomScale="49" zoomScaleNormal="130" workbookViewId="0">
      <selection activeCell="Q6" sqref="Q6"/>
    </sheetView>
  </sheetViews>
  <sheetFormatPr defaultRowHeight="14" x14ac:dyDescent="0.3"/>
  <cols>
    <col min="1" max="2" width="8.7265625" style="7"/>
    <col min="3" max="3" width="14.90625" style="7" customWidth="1"/>
    <col min="4" max="4" width="15.90625" style="7" customWidth="1"/>
    <col min="5" max="5" width="39" style="7" customWidth="1"/>
    <col min="6" max="6" width="55.7265625" style="7" customWidth="1"/>
    <col min="7" max="7" width="25.54296875" style="35" customWidth="1"/>
    <col min="8" max="8" width="31.08984375" style="35" customWidth="1"/>
    <col min="9" max="9" width="35.7265625" style="35" customWidth="1"/>
    <col min="10" max="10" width="22.1796875" style="36" customWidth="1"/>
    <col min="11" max="11" width="17.90625" style="35" customWidth="1"/>
    <col min="12" max="12" width="23" style="35" customWidth="1"/>
    <col min="13" max="13" width="19.1796875" style="35" customWidth="1"/>
    <col min="14" max="14" width="23.26953125" style="36" customWidth="1"/>
    <col min="15" max="15" width="39.54296875" style="7" customWidth="1"/>
    <col min="16" max="16" width="57.81640625" style="35" customWidth="1"/>
    <col min="17" max="17" width="36.08984375" style="7" customWidth="1"/>
    <col min="18" max="18" width="23.6328125" style="7" customWidth="1"/>
    <col min="19" max="19" width="35.90625" style="7" customWidth="1"/>
    <col min="20" max="20" width="36.6328125" style="7" customWidth="1"/>
    <col min="21" max="21" width="42.54296875" style="7" customWidth="1"/>
    <col min="22" max="16384" width="8.7265625" style="7"/>
  </cols>
  <sheetData>
    <row r="3" spans="3:24" ht="14.5" thickBot="1" x14ac:dyDescent="0.35"/>
    <row r="4" spans="3:24" ht="27.5" x14ac:dyDescent="0.3">
      <c r="C4" s="98" t="s">
        <v>147</v>
      </c>
      <c r="D4" s="99"/>
      <c r="E4" s="99"/>
      <c r="F4" s="99"/>
      <c r="G4" s="99"/>
      <c r="H4" s="99"/>
      <c r="I4" s="99"/>
      <c r="J4" s="100"/>
      <c r="K4" s="101" t="s">
        <v>250</v>
      </c>
      <c r="L4" s="102"/>
      <c r="M4" s="102"/>
      <c r="N4" s="103"/>
      <c r="O4" s="104" t="s">
        <v>137</v>
      </c>
      <c r="P4" s="105"/>
      <c r="Q4" s="105"/>
      <c r="R4" s="106"/>
      <c r="S4" s="93" t="s">
        <v>251</v>
      </c>
      <c r="T4" s="93"/>
      <c r="U4" s="94"/>
    </row>
    <row r="5" spans="3:24" ht="89.5" customHeight="1" x14ac:dyDescent="0.3">
      <c r="C5" s="29" t="s">
        <v>146</v>
      </c>
      <c r="D5" s="30" t="s">
        <v>145</v>
      </c>
      <c r="E5" s="30" t="s">
        <v>144</v>
      </c>
      <c r="F5" s="30" t="s">
        <v>143</v>
      </c>
      <c r="G5" s="30" t="s">
        <v>148</v>
      </c>
      <c r="H5" s="30" t="s">
        <v>142</v>
      </c>
      <c r="I5" s="30" t="s">
        <v>141</v>
      </c>
      <c r="J5" s="30" t="s">
        <v>139</v>
      </c>
      <c r="K5" s="31" t="s">
        <v>291</v>
      </c>
      <c r="L5" s="31" t="s">
        <v>310</v>
      </c>
      <c r="M5" s="31" t="s">
        <v>292</v>
      </c>
      <c r="N5" s="31" t="s">
        <v>311</v>
      </c>
      <c r="O5" s="32" t="s">
        <v>137</v>
      </c>
      <c r="P5" s="32" t="s">
        <v>155</v>
      </c>
      <c r="Q5" s="32" t="s">
        <v>156</v>
      </c>
      <c r="R5" s="32" t="s">
        <v>157</v>
      </c>
      <c r="S5" s="33" t="s">
        <v>158</v>
      </c>
      <c r="T5" s="33" t="s">
        <v>159</v>
      </c>
      <c r="U5" s="34" t="s">
        <v>138</v>
      </c>
    </row>
    <row r="6" spans="3:24" ht="120.5" customHeight="1" x14ac:dyDescent="0.45">
      <c r="C6" s="37" t="s">
        <v>136</v>
      </c>
      <c r="D6" s="38" t="s">
        <v>135</v>
      </c>
      <c r="E6" s="38" t="s">
        <v>134</v>
      </c>
      <c r="F6" s="39" t="s">
        <v>133</v>
      </c>
      <c r="G6" s="40" t="s">
        <v>149</v>
      </c>
      <c r="H6" s="40" t="s">
        <v>132</v>
      </c>
      <c r="I6" s="39" t="s">
        <v>131</v>
      </c>
      <c r="J6" s="41" t="str">
        <f>IF(N6&lt;=25,"Low",IF(N6&lt;=50,"Medium","High"))</f>
        <v>High</v>
      </c>
      <c r="K6" s="42">
        <v>5</v>
      </c>
      <c r="L6" s="42">
        <v>4</v>
      </c>
      <c r="M6" s="42">
        <f>'[1]Asset register '!$K$4</f>
        <v>3</v>
      </c>
      <c r="N6" s="41">
        <f t="shared" ref="N6:N25" si="0">K6*L6*M6</f>
        <v>60</v>
      </c>
      <c r="O6" s="42" t="s">
        <v>15</v>
      </c>
      <c r="P6" s="39" t="s">
        <v>160</v>
      </c>
      <c r="Q6" s="43">
        <v>46665</v>
      </c>
      <c r="R6" s="44" t="s">
        <v>192</v>
      </c>
      <c r="S6" s="45" t="s">
        <v>194</v>
      </c>
      <c r="T6" s="39" t="s">
        <v>230</v>
      </c>
      <c r="U6" s="46" t="s">
        <v>130</v>
      </c>
      <c r="W6" s="47"/>
      <c r="X6" s="47"/>
    </row>
    <row r="7" spans="3:24" ht="218" customHeight="1" x14ac:dyDescent="0.45">
      <c r="C7" s="37" t="s">
        <v>129</v>
      </c>
      <c r="D7" s="38" t="s">
        <v>128</v>
      </c>
      <c r="E7" s="38" t="s">
        <v>127</v>
      </c>
      <c r="F7" s="39" t="s">
        <v>126</v>
      </c>
      <c r="G7" s="40" t="s">
        <v>149</v>
      </c>
      <c r="H7" s="40" t="s">
        <v>125</v>
      </c>
      <c r="I7" s="39" t="s">
        <v>124</v>
      </c>
      <c r="J7" s="41" t="str">
        <f t="shared" ref="J7:J25" si="1">IF(N7&lt;=25,"Low",IF(N7&lt;=50,"Medium","High"))</f>
        <v>Medium</v>
      </c>
      <c r="K7" s="42">
        <v>5</v>
      </c>
      <c r="L7" s="42">
        <v>3</v>
      </c>
      <c r="M7" s="42">
        <f>'[1]Asset register '!$K$5</f>
        <v>3</v>
      </c>
      <c r="N7" s="41">
        <f t="shared" si="0"/>
        <v>45</v>
      </c>
      <c r="O7" s="42" t="s">
        <v>15</v>
      </c>
      <c r="P7" s="39" t="s">
        <v>161</v>
      </c>
      <c r="Q7" s="43">
        <v>46726</v>
      </c>
      <c r="R7" s="44" t="s">
        <v>192</v>
      </c>
      <c r="S7" s="45" t="s">
        <v>194</v>
      </c>
      <c r="T7" s="39" t="s">
        <v>231</v>
      </c>
      <c r="U7" s="46" t="s">
        <v>123</v>
      </c>
      <c r="W7" s="48"/>
    </row>
    <row r="8" spans="3:24" ht="127" customHeight="1" x14ac:dyDescent="0.45">
      <c r="C8" s="37" t="s">
        <v>122</v>
      </c>
      <c r="D8" s="38" t="s">
        <v>121</v>
      </c>
      <c r="E8" s="38" t="s">
        <v>120</v>
      </c>
      <c r="F8" s="39" t="s">
        <v>119</v>
      </c>
      <c r="G8" s="40" t="s">
        <v>149</v>
      </c>
      <c r="H8" s="40" t="s">
        <v>52</v>
      </c>
      <c r="I8" s="39" t="s">
        <v>118</v>
      </c>
      <c r="J8" s="41" t="str">
        <f t="shared" si="1"/>
        <v>Medium</v>
      </c>
      <c r="K8" s="42">
        <v>4</v>
      </c>
      <c r="L8" s="42">
        <v>3</v>
      </c>
      <c r="M8" s="42">
        <f>'[1]Asset register '!$K$6</f>
        <v>3</v>
      </c>
      <c r="N8" s="41">
        <f t="shared" si="0"/>
        <v>36</v>
      </c>
      <c r="O8" s="42" t="s">
        <v>15</v>
      </c>
      <c r="P8" s="39" t="s">
        <v>162</v>
      </c>
      <c r="Q8" s="43" t="s">
        <v>180</v>
      </c>
      <c r="R8" s="44" t="s">
        <v>192</v>
      </c>
      <c r="S8" s="45" t="s">
        <v>195</v>
      </c>
      <c r="T8" s="39" t="s">
        <v>232</v>
      </c>
      <c r="U8" s="46" t="s">
        <v>117</v>
      </c>
      <c r="W8" s="48"/>
    </row>
    <row r="9" spans="3:24" ht="175" customHeight="1" x14ac:dyDescent="0.45">
      <c r="C9" s="37" t="s">
        <v>116</v>
      </c>
      <c r="D9" s="38" t="s">
        <v>115</v>
      </c>
      <c r="E9" s="38" t="s">
        <v>114</v>
      </c>
      <c r="F9" s="39" t="s">
        <v>113</v>
      </c>
      <c r="G9" s="40" t="s">
        <v>149</v>
      </c>
      <c r="H9" s="40" t="s">
        <v>45</v>
      </c>
      <c r="I9" s="39" t="s">
        <v>112</v>
      </c>
      <c r="J9" s="41" t="str">
        <f t="shared" si="1"/>
        <v>High</v>
      </c>
      <c r="K9" s="42">
        <v>5</v>
      </c>
      <c r="L9" s="42">
        <v>4</v>
      </c>
      <c r="M9" s="42">
        <f>'[1]Asset register '!$K$7</f>
        <v>3</v>
      </c>
      <c r="N9" s="41">
        <f t="shared" si="0"/>
        <v>60</v>
      </c>
      <c r="O9" s="42" t="s">
        <v>15</v>
      </c>
      <c r="P9" s="39" t="s">
        <v>163</v>
      </c>
      <c r="Q9" s="42" t="s">
        <v>181</v>
      </c>
      <c r="R9" s="44" t="s">
        <v>192</v>
      </c>
      <c r="S9" s="45" t="s">
        <v>195</v>
      </c>
      <c r="T9" s="39" t="s">
        <v>233</v>
      </c>
      <c r="U9" s="46" t="s">
        <v>111</v>
      </c>
      <c r="W9" s="48"/>
    </row>
    <row r="10" spans="3:24" ht="227" customHeight="1" x14ac:dyDescent="0.45">
      <c r="C10" s="37" t="s">
        <v>110</v>
      </c>
      <c r="D10" s="38" t="s">
        <v>109</v>
      </c>
      <c r="E10" s="38" t="s">
        <v>108</v>
      </c>
      <c r="F10" s="39" t="s">
        <v>107</v>
      </c>
      <c r="G10" s="40" t="s">
        <v>152</v>
      </c>
      <c r="H10" s="40" t="s">
        <v>106</v>
      </c>
      <c r="I10" s="39" t="s">
        <v>105</v>
      </c>
      <c r="J10" s="41" t="str">
        <f t="shared" si="1"/>
        <v>Medium</v>
      </c>
      <c r="K10" s="42">
        <v>4</v>
      </c>
      <c r="L10" s="42">
        <v>3</v>
      </c>
      <c r="M10" s="42">
        <f>'[1]Asset register '!$K$8</f>
        <v>3</v>
      </c>
      <c r="N10" s="41">
        <f t="shared" si="0"/>
        <v>36</v>
      </c>
      <c r="O10" s="42" t="s">
        <v>15</v>
      </c>
      <c r="P10" s="39" t="s">
        <v>164</v>
      </c>
      <c r="Q10" s="42" t="s">
        <v>182</v>
      </c>
      <c r="R10" s="44" t="s">
        <v>192</v>
      </c>
      <c r="S10" s="45" t="s">
        <v>196</v>
      </c>
      <c r="T10" s="39" t="s">
        <v>234</v>
      </c>
      <c r="U10" s="46" t="s">
        <v>104</v>
      </c>
      <c r="W10" s="48"/>
    </row>
    <row r="11" spans="3:24" ht="198.5" customHeight="1" x14ac:dyDescent="0.45">
      <c r="C11" s="37" t="s">
        <v>103</v>
      </c>
      <c r="D11" s="38" t="s">
        <v>102</v>
      </c>
      <c r="E11" s="38" t="s">
        <v>101</v>
      </c>
      <c r="F11" s="39" t="s">
        <v>100</v>
      </c>
      <c r="G11" s="40" t="s">
        <v>153</v>
      </c>
      <c r="H11" s="40" t="s">
        <v>99</v>
      </c>
      <c r="I11" s="39" t="s">
        <v>98</v>
      </c>
      <c r="J11" s="41" t="str">
        <f t="shared" si="1"/>
        <v>Low</v>
      </c>
      <c r="K11" s="42">
        <v>3</v>
      </c>
      <c r="L11" s="42">
        <v>3</v>
      </c>
      <c r="M11" s="42">
        <f>'[1]Asset register '!$K$9</f>
        <v>2</v>
      </c>
      <c r="N11" s="41">
        <f t="shared" si="0"/>
        <v>18</v>
      </c>
      <c r="O11" s="42" t="s">
        <v>15</v>
      </c>
      <c r="P11" s="39" t="s">
        <v>165</v>
      </c>
      <c r="Q11" s="42" t="s">
        <v>183</v>
      </c>
      <c r="R11" s="44" t="s">
        <v>192</v>
      </c>
      <c r="S11" s="45" t="s">
        <v>194</v>
      </c>
      <c r="T11" s="39" t="s">
        <v>235</v>
      </c>
      <c r="U11" s="46" t="s">
        <v>97</v>
      </c>
      <c r="W11" s="48"/>
    </row>
    <row r="12" spans="3:24" ht="133" customHeight="1" x14ac:dyDescent="0.45">
      <c r="C12" s="37" t="s">
        <v>96</v>
      </c>
      <c r="D12" s="38" t="s">
        <v>95</v>
      </c>
      <c r="E12" s="38" t="s">
        <v>94</v>
      </c>
      <c r="F12" s="39" t="s">
        <v>93</v>
      </c>
      <c r="G12" s="40" t="s">
        <v>152</v>
      </c>
      <c r="H12" s="40" t="s">
        <v>92</v>
      </c>
      <c r="I12" s="39" t="s">
        <v>91</v>
      </c>
      <c r="J12" s="41" t="str">
        <f t="shared" si="1"/>
        <v>Medium</v>
      </c>
      <c r="K12" s="42">
        <v>5</v>
      </c>
      <c r="L12" s="42">
        <v>3</v>
      </c>
      <c r="M12" s="42">
        <f>'[1]Asset register '!$K$10</f>
        <v>3</v>
      </c>
      <c r="N12" s="41">
        <f t="shared" si="0"/>
        <v>45</v>
      </c>
      <c r="O12" s="42" t="s">
        <v>89</v>
      </c>
      <c r="P12" s="39" t="s">
        <v>166</v>
      </c>
      <c r="Q12" s="42" t="s">
        <v>184</v>
      </c>
      <c r="R12" s="44" t="s">
        <v>192</v>
      </c>
      <c r="S12" s="45" t="s">
        <v>197</v>
      </c>
      <c r="T12" s="39" t="s">
        <v>236</v>
      </c>
      <c r="U12" s="46" t="s">
        <v>90</v>
      </c>
      <c r="W12" s="48"/>
    </row>
    <row r="13" spans="3:24" ht="189" customHeight="1" x14ac:dyDescent="0.45">
      <c r="C13" s="37" t="s">
        <v>88</v>
      </c>
      <c r="D13" s="38" t="s">
        <v>87</v>
      </c>
      <c r="E13" s="38" t="s">
        <v>86</v>
      </c>
      <c r="F13" s="39" t="s">
        <v>85</v>
      </c>
      <c r="G13" s="40" t="s">
        <v>149</v>
      </c>
      <c r="H13" s="40" t="s">
        <v>84</v>
      </c>
      <c r="I13" s="39" t="s">
        <v>83</v>
      </c>
      <c r="J13" s="41" t="str">
        <f t="shared" si="1"/>
        <v>Low</v>
      </c>
      <c r="K13" s="42">
        <v>4</v>
      </c>
      <c r="L13" s="42">
        <v>2</v>
      </c>
      <c r="M13" s="42">
        <f>'[1]Asset register '!$K$11</f>
        <v>3</v>
      </c>
      <c r="N13" s="41">
        <f t="shared" si="0"/>
        <v>24</v>
      </c>
      <c r="O13" s="42" t="s">
        <v>15</v>
      </c>
      <c r="P13" s="39" t="s">
        <v>167</v>
      </c>
      <c r="Q13" s="42" t="s">
        <v>185</v>
      </c>
      <c r="R13" s="44" t="s">
        <v>192</v>
      </c>
      <c r="S13" s="39" t="s">
        <v>198</v>
      </c>
      <c r="T13" s="39" t="s">
        <v>237</v>
      </c>
      <c r="U13" s="46" t="s">
        <v>82</v>
      </c>
      <c r="W13" s="48"/>
    </row>
    <row r="14" spans="3:24" ht="181" customHeight="1" x14ac:dyDescent="0.45">
      <c r="C14" s="37" t="s">
        <v>81</v>
      </c>
      <c r="D14" s="38" t="s">
        <v>80</v>
      </c>
      <c r="E14" s="38" t="s">
        <v>79</v>
      </c>
      <c r="F14" s="39" t="s">
        <v>78</v>
      </c>
      <c r="G14" s="40" t="s">
        <v>149</v>
      </c>
      <c r="H14" s="40" t="s">
        <v>77</v>
      </c>
      <c r="I14" s="39" t="s">
        <v>76</v>
      </c>
      <c r="J14" s="41" t="str">
        <f t="shared" si="1"/>
        <v>Medium</v>
      </c>
      <c r="K14" s="42">
        <v>4</v>
      </c>
      <c r="L14" s="42">
        <v>3</v>
      </c>
      <c r="M14" s="42">
        <f>'[1]Asset register '!$K$12</f>
        <v>3</v>
      </c>
      <c r="N14" s="41">
        <f t="shared" si="0"/>
        <v>36</v>
      </c>
      <c r="O14" s="42" t="s">
        <v>15</v>
      </c>
      <c r="P14" s="39" t="s">
        <v>168</v>
      </c>
      <c r="Q14" s="42" t="s">
        <v>186</v>
      </c>
      <c r="R14" s="44" t="s">
        <v>192</v>
      </c>
      <c r="S14" s="45" t="s">
        <v>199</v>
      </c>
      <c r="T14" s="39" t="s">
        <v>238</v>
      </c>
      <c r="U14" s="46" t="s">
        <v>75</v>
      </c>
      <c r="W14" s="48"/>
    </row>
    <row r="15" spans="3:24" ht="120" customHeight="1" x14ac:dyDescent="0.45">
      <c r="C15" s="37" t="s">
        <v>74</v>
      </c>
      <c r="D15" s="38" t="s">
        <v>73</v>
      </c>
      <c r="E15" s="38" t="s">
        <v>72</v>
      </c>
      <c r="F15" s="39" t="s">
        <v>32</v>
      </c>
      <c r="G15" s="40" t="s">
        <v>149</v>
      </c>
      <c r="H15" s="40" t="s">
        <v>3</v>
      </c>
      <c r="I15" s="39" t="s">
        <v>31</v>
      </c>
      <c r="J15" s="41" t="str">
        <f t="shared" si="1"/>
        <v>Medium</v>
      </c>
      <c r="K15" s="42">
        <v>3</v>
      </c>
      <c r="L15" s="42">
        <v>3</v>
      </c>
      <c r="M15" s="42">
        <f>'[1]Asset register '!$K$13</f>
        <v>3</v>
      </c>
      <c r="N15" s="41">
        <f t="shared" si="0"/>
        <v>27</v>
      </c>
      <c r="O15" s="42" t="s">
        <v>15</v>
      </c>
      <c r="P15" s="40" t="s">
        <v>169</v>
      </c>
      <c r="Q15" s="42" t="s">
        <v>187</v>
      </c>
      <c r="R15" s="44" t="s">
        <v>192</v>
      </c>
      <c r="S15" s="45" t="s">
        <v>200</v>
      </c>
      <c r="T15" s="39" t="s">
        <v>239</v>
      </c>
      <c r="U15" s="46" t="s">
        <v>71</v>
      </c>
      <c r="W15" s="48"/>
    </row>
    <row r="16" spans="3:24" ht="113" customHeight="1" x14ac:dyDescent="0.45">
      <c r="C16" s="37" t="s">
        <v>70</v>
      </c>
      <c r="D16" s="38" t="s">
        <v>69</v>
      </c>
      <c r="E16" s="38" t="s">
        <v>68</v>
      </c>
      <c r="F16" s="39" t="s">
        <v>67</v>
      </c>
      <c r="G16" s="40" t="s">
        <v>149</v>
      </c>
      <c r="H16" s="40" t="s">
        <v>66</v>
      </c>
      <c r="I16" s="39" t="s">
        <v>65</v>
      </c>
      <c r="J16" s="41" t="str">
        <f t="shared" si="1"/>
        <v>High</v>
      </c>
      <c r="K16" s="42">
        <v>5</v>
      </c>
      <c r="L16" s="42">
        <v>4</v>
      </c>
      <c r="M16" s="42">
        <f>'[1]Asset register '!$K$14</f>
        <v>3</v>
      </c>
      <c r="N16" s="41">
        <f t="shared" si="0"/>
        <v>60</v>
      </c>
      <c r="O16" s="42" t="s">
        <v>15</v>
      </c>
      <c r="P16" s="39" t="s">
        <v>170</v>
      </c>
      <c r="Q16" s="42" t="s">
        <v>188</v>
      </c>
      <c r="R16" s="44" t="s">
        <v>192</v>
      </c>
      <c r="S16" s="39" t="s">
        <v>201</v>
      </c>
      <c r="T16" s="39" t="s">
        <v>240</v>
      </c>
      <c r="U16" s="46" t="s">
        <v>64</v>
      </c>
      <c r="W16" s="48"/>
    </row>
    <row r="17" spans="3:23" ht="126.5" customHeight="1" x14ac:dyDescent="0.45">
      <c r="C17" s="37" t="s">
        <v>63</v>
      </c>
      <c r="D17" s="38" t="s">
        <v>62</v>
      </c>
      <c r="E17" s="38" t="s">
        <v>61</v>
      </c>
      <c r="F17" s="39" t="s">
        <v>60</v>
      </c>
      <c r="G17" s="40" t="s">
        <v>152</v>
      </c>
      <c r="H17" s="40" t="s">
        <v>59</v>
      </c>
      <c r="I17" s="39" t="s">
        <v>58</v>
      </c>
      <c r="J17" s="41" t="str">
        <f t="shared" si="1"/>
        <v>Medium</v>
      </c>
      <c r="K17" s="42">
        <v>5</v>
      </c>
      <c r="L17" s="42">
        <v>3</v>
      </c>
      <c r="M17" s="42">
        <f>'[1]Asset register '!$K$15</f>
        <v>3</v>
      </c>
      <c r="N17" s="41">
        <f t="shared" si="0"/>
        <v>45</v>
      </c>
      <c r="O17" s="42" t="s">
        <v>15</v>
      </c>
      <c r="P17" s="39" t="s">
        <v>171</v>
      </c>
      <c r="Q17" s="43">
        <v>46393</v>
      </c>
      <c r="R17" s="44" t="s">
        <v>192</v>
      </c>
      <c r="S17" s="39" t="s">
        <v>202</v>
      </c>
      <c r="T17" s="39" t="s">
        <v>241</v>
      </c>
      <c r="U17" s="46" t="s">
        <v>57</v>
      </c>
      <c r="W17" s="48"/>
    </row>
    <row r="18" spans="3:23" ht="108.5" customHeight="1" x14ac:dyDescent="0.45">
      <c r="C18" s="37" t="s">
        <v>56</v>
      </c>
      <c r="D18" s="38" t="s">
        <v>55</v>
      </c>
      <c r="E18" s="38" t="s">
        <v>54</v>
      </c>
      <c r="F18" s="39" t="s">
        <v>53</v>
      </c>
      <c r="G18" s="40" t="s">
        <v>149</v>
      </c>
      <c r="H18" s="40" t="s">
        <v>52</v>
      </c>
      <c r="I18" s="39" t="s">
        <v>51</v>
      </c>
      <c r="J18" s="41" t="str">
        <f t="shared" si="1"/>
        <v>Medium</v>
      </c>
      <c r="K18" s="42">
        <v>4</v>
      </c>
      <c r="L18" s="42">
        <v>3</v>
      </c>
      <c r="M18" s="42">
        <f>'[1]Asset register '!$K$16</f>
        <v>3</v>
      </c>
      <c r="N18" s="41">
        <f t="shared" si="0"/>
        <v>36</v>
      </c>
      <c r="O18" s="42" t="s">
        <v>15</v>
      </c>
      <c r="P18" s="39" t="s">
        <v>172</v>
      </c>
      <c r="Q18" s="43">
        <v>46452</v>
      </c>
      <c r="R18" s="44" t="s">
        <v>192</v>
      </c>
      <c r="S18" s="39" t="s">
        <v>203</v>
      </c>
      <c r="T18" s="39" t="s">
        <v>242</v>
      </c>
      <c r="U18" s="46" t="s">
        <v>50</v>
      </c>
      <c r="W18" s="48"/>
    </row>
    <row r="19" spans="3:23" ht="143" customHeight="1" x14ac:dyDescent="0.45">
      <c r="C19" s="37" t="s">
        <v>49</v>
      </c>
      <c r="D19" s="38" t="s">
        <v>48</v>
      </c>
      <c r="E19" s="38" t="s">
        <v>47</v>
      </c>
      <c r="F19" s="39" t="s">
        <v>46</v>
      </c>
      <c r="G19" s="40" t="s">
        <v>149</v>
      </c>
      <c r="H19" s="40" t="s">
        <v>45</v>
      </c>
      <c r="I19" s="39" t="s">
        <v>44</v>
      </c>
      <c r="J19" s="41" t="str">
        <f t="shared" si="1"/>
        <v>Medium</v>
      </c>
      <c r="K19" s="42">
        <v>3</v>
      </c>
      <c r="L19" s="42">
        <v>3</v>
      </c>
      <c r="M19" s="42">
        <f>'[1]Asset register '!$K$17</f>
        <v>3</v>
      </c>
      <c r="N19" s="41">
        <f t="shared" si="0"/>
        <v>27</v>
      </c>
      <c r="O19" s="42" t="s">
        <v>15</v>
      </c>
      <c r="P19" s="39" t="s">
        <v>173</v>
      </c>
      <c r="Q19" s="43">
        <v>46513</v>
      </c>
      <c r="R19" s="44" t="s">
        <v>192</v>
      </c>
      <c r="S19" s="39" t="s">
        <v>204</v>
      </c>
      <c r="T19" s="39" t="s">
        <v>243</v>
      </c>
      <c r="U19" s="46" t="s">
        <v>43</v>
      </c>
      <c r="W19" s="48"/>
    </row>
    <row r="20" spans="3:23" ht="121.5" customHeight="1" x14ac:dyDescent="0.45">
      <c r="C20" s="37" t="s">
        <v>42</v>
      </c>
      <c r="D20" s="38" t="s">
        <v>41</v>
      </c>
      <c r="E20" s="38" t="s">
        <v>40</v>
      </c>
      <c r="F20" s="39" t="s">
        <v>39</v>
      </c>
      <c r="G20" s="40" t="s">
        <v>150</v>
      </c>
      <c r="H20" s="40" t="s">
        <v>38</v>
      </c>
      <c r="I20" s="39" t="s">
        <v>37</v>
      </c>
      <c r="J20" s="41" t="str">
        <f t="shared" si="1"/>
        <v>Low</v>
      </c>
      <c r="K20" s="42">
        <v>4</v>
      </c>
      <c r="L20" s="42">
        <v>2</v>
      </c>
      <c r="M20" s="42">
        <f>'[1]Asset register '!$K$18</f>
        <v>3</v>
      </c>
      <c r="N20" s="41">
        <f t="shared" si="0"/>
        <v>24</v>
      </c>
      <c r="O20" s="42" t="s">
        <v>15</v>
      </c>
      <c r="P20" s="39" t="s">
        <v>174</v>
      </c>
      <c r="Q20" s="43">
        <v>46574</v>
      </c>
      <c r="R20" s="44" t="s">
        <v>192</v>
      </c>
      <c r="S20" s="45" t="s">
        <v>205</v>
      </c>
      <c r="T20" s="39" t="s">
        <v>244</v>
      </c>
      <c r="U20" s="46" t="s">
        <v>36</v>
      </c>
      <c r="W20" s="48"/>
    </row>
    <row r="21" spans="3:23" ht="123" customHeight="1" x14ac:dyDescent="0.45">
      <c r="C21" s="37" t="s">
        <v>35</v>
      </c>
      <c r="D21" s="38" t="s">
        <v>34</v>
      </c>
      <c r="E21" s="38" t="s">
        <v>33</v>
      </c>
      <c r="F21" s="39" t="s">
        <v>32</v>
      </c>
      <c r="G21" s="40" t="s">
        <v>154</v>
      </c>
      <c r="H21" s="40" t="s">
        <v>3</v>
      </c>
      <c r="I21" s="39" t="s">
        <v>31</v>
      </c>
      <c r="J21" s="41" t="str">
        <f t="shared" si="1"/>
        <v>Medium</v>
      </c>
      <c r="K21" s="42">
        <v>4</v>
      </c>
      <c r="L21" s="42">
        <v>3</v>
      </c>
      <c r="M21" s="42">
        <f>'[1]Asset register '!$K$19</f>
        <v>3</v>
      </c>
      <c r="N21" s="41">
        <f t="shared" si="0"/>
        <v>36</v>
      </c>
      <c r="O21" s="42" t="s">
        <v>15</v>
      </c>
      <c r="P21" s="39" t="s">
        <v>175</v>
      </c>
      <c r="Q21" s="43">
        <v>46636</v>
      </c>
      <c r="R21" s="44" t="s">
        <v>192</v>
      </c>
      <c r="S21" s="39" t="s">
        <v>206</v>
      </c>
      <c r="T21" s="39" t="s">
        <v>245</v>
      </c>
      <c r="U21" s="46" t="s">
        <v>30</v>
      </c>
      <c r="W21" s="48"/>
    </row>
    <row r="22" spans="3:23" ht="129.5" customHeight="1" x14ac:dyDescent="0.45">
      <c r="C22" s="37" t="s">
        <v>29</v>
      </c>
      <c r="D22" s="38" t="s">
        <v>28</v>
      </c>
      <c r="E22" s="38" t="s">
        <v>27</v>
      </c>
      <c r="F22" s="39" t="s">
        <v>26</v>
      </c>
      <c r="G22" s="40" t="s">
        <v>149</v>
      </c>
      <c r="H22" s="40" t="s">
        <v>25</v>
      </c>
      <c r="I22" s="39" t="s">
        <v>24</v>
      </c>
      <c r="J22" s="41" t="str">
        <f t="shared" si="1"/>
        <v>Medium</v>
      </c>
      <c r="K22" s="42">
        <v>5</v>
      </c>
      <c r="L22" s="42">
        <v>2</v>
      </c>
      <c r="M22" s="42">
        <f>'[1]Asset register '!$K$20</f>
        <v>3</v>
      </c>
      <c r="N22" s="41">
        <f t="shared" si="0"/>
        <v>30</v>
      </c>
      <c r="O22" s="42" t="s">
        <v>15</v>
      </c>
      <c r="P22" s="39" t="s">
        <v>176</v>
      </c>
      <c r="Q22" s="43">
        <v>46697</v>
      </c>
      <c r="R22" s="44" t="s">
        <v>192</v>
      </c>
      <c r="S22" s="45" t="s">
        <v>207</v>
      </c>
      <c r="T22" s="39" t="s">
        <v>246</v>
      </c>
      <c r="U22" s="46" t="s">
        <v>23</v>
      </c>
      <c r="W22" s="48"/>
    </row>
    <row r="23" spans="3:23" ht="118" customHeight="1" x14ac:dyDescent="0.45">
      <c r="C23" s="37" t="s">
        <v>22</v>
      </c>
      <c r="D23" s="38" t="s">
        <v>21</v>
      </c>
      <c r="E23" s="38" t="s">
        <v>20</v>
      </c>
      <c r="F23" s="39" t="s">
        <v>19</v>
      </c>
      <c r="G23" s="40" t="s">
        <v>152</v>
      </c>
      <c r="H23" s="40" t="s">
        <v>18</v>
      </c>
      <c r="I23" s="39" t="s">
        <v>17</v>
      </c>
      <c r="J23" s="41" t="str">
        <f t="shared" si="1"/>
        <v>Medium</v>
      </c>
      <c r="K23" s="42">
        <v>3</v>
      </c>
      <c r="L23" s="42">
        <v>3</v>
      </c>
      <c r="M23" s="42">
        <f>'[1]Asset register '!$K$21</f>
        <v>3</v>
      </c>
      <c r="N23" s="41">
        <f t="shared" si="0"/>
        <v>27</v>
      </c>
      <c r="O23" s="42" t="s">
        <v>15</v>
      </c>
      <c r="P23" s="39" t="s">
        <v>177</v>
      </c>
      <c r="Q23" s="42" t="s">
        <v>189</v>
      </c>
      <c r="R23" s="44" t="s">
        <v>192</v>
      </c>
      <c r="S23" s="45" t="s">
        <v>208</v>
      </c>
      <c r="T23" s="39" t="s">
        <v>247</v>
      </c>
      <c r="U23" s="46" t="s">
        <v>16</v>
      </c>
      <c r="W23" s="48"/>
    </row>
    <row r="24" spans="3:23" ht="148.5" customHeight="1" x14ac:dyDescent="0.3">
      <c r="C24" s="37" t="s">
        <v>14</v>
      </c>
      <c r="D24" s="38" t="s">
        <v>13</v>
      </c>
      <c r="E24" s="38" t="s">
        <v>12</v>
      </c>
      <c r="F24" s="39" t="s">
        <v>11</v>
      </c>
      <c r="G24" s="40" t="s">
        <v>151</v>
      </c>
      <c r="H24" s="40" t="s">
        <v>10</v>
      </c>
      <c r="I24" s="39" t="s">
        <v>9</v>
      </c>
      <c r="J24" s="41" t="str">
        <f t="shared" si="1"/>
        <v>Low</v>
      </c>
      <c r="K24" s="42">
        <v>3</v>
      </c>
      <c r="L24" s="42">
        <v>2</v>
      </c>
      <c r="M24" s="42">
        <f>'[1]Asset register '!$K$22</f>
        <v>2</v>
      </c>
      <c r="N24" s="41">
        <f t="shared" si="0"/>
        <v>12</v>
      </c>
      <c r="O24" s="42" t="s">
        <v>0</v>
      </c>
      <c r="P24" s="39" t="s">
        <v>178</v>
      </c>
      <c r="Q24" s="42" t="s">
        <v>190</v>
      </c>
      <c r="R24" s="49" t="s">
        <v>252</v>
      </c>
      <c r="S24" s="45" t="s">
        <v>210</v>
      </c>
      <c r="T24" s="39" t="s">
        <v>248</v>
      </c>
      <c r="U24" s="46" t="s">
        <v>8</v>
      </c>
      <c r="W24" s="48"/>
    </row>
    <row r="25" spans="3:23" ht="178" customHeight="1" thickBot="1" x14ac:dyDescent="0.35">
      <c r="C25" s="50" t="s">
        <v>7</v>
      </c>
      <c r="D25" s="51" t="s">
        <v>6</v>
      </c>
      <c r="E25" s="51" t="s">
        <v>5</v>
      </c>
      <c r="F25" s="52" t="s">
        <v>4</v>
      </c>
      <c r="G25" s="53" t="s">
        <v>149</v>
      </c>
      <c r="H25" s="53" t="s">
        <v>3</v>
      </c>
      <c r="I25" s="52" t="s">
        <v>2</v>
      </c>
      <c r="J25" s="41" t="str">
        <f t="shared" si="1"/>
        <v>Low</v>
      </c>
      <c r="K25" s="54">
        <v>3</v>
      </c>
      <c r="L25" s="54">
        <v>2</v>
      </c>
      <c r="M25" s="54">
        <f>'[1]Asset register '!$K$23</f>
        <v>2</v>
      </c>
      <c r="N25" s="41">
        <f t="shared" si="0"/>
        <v>12</v>
      </c>
      <c r="O25" s="54" t="s">
        <v>0</v>
      </c>
      <c r="P25" s="52" t="s">
        <v>179</v>
      </c>
      <c r="Q25" s="54" t="s">
        <v>191</v>
      </c>
      <c r="R25" s="52" t="s">
        <v>253</v>
      </c>
      <c r="S25" s="52" t="s">
        <v>209</v>
      </c>
      <c r="T25" s="52" t="s">
        <v>249</v>
      </c>
      <c r="U25" s="55" t="s">
        <v>1</v>
      </c>
      <c r="W25" s="48"/>
    </row>
    <row r="28" spans="3:23" x14ac:dyDescent="0.3">
      <c r="I28" s="56"/>
      <c r="J28" s="57"/>
    </row>
    <row r="29" spans="3:23" ht="23" thickBot="1" x14ac:dyDescent="0.5">
      <c r="E29" s="95"/>
      <c r="F29" s="95"/>
      <c r="G29" s="95"/>
      <c r="H29" s="95"/>
      <c r="I29" s="95"/>
      <c r="J29" s="95"/>
      <c r="K29" s="95"/>
      <c r="L29" s="95"/>
      <c r="M29" s="58"/>
    </row>
    <row r="30" spans="3:23" ht="22.5" x14ac:dyDescent="0.45">
      <c r="E30" s="96" t="s">
        <v>211</v>
      </c>
      <c r="F30" s="97"/>
      <c r="G30" s="59"/>
      <c r="H30" s="59"/>
      <c r="I30" s="59"/>
      <c r="J30" s="59"/>
      <c r="K30" s="59"/>
      <c r="L30" s="59"/>
      <c r="M30" s="60"/>
    </row>
    <row r="31" spans="3:23" ht="20" x14ac:dyDescent="0.3">
      <c r="E31" s="1" t="s">
        <v>212</v>
      </c>
      <c r="F31" s="2" t="s">
        <v>158</v>
      </c>
      <c r="G31" s="61"/>
      <c r="H31" s="61"/>
      <c r="I31" s="61"/>
      <c r="J31" s="59"/>
      <c r="K31" s="61"/>
      <c r="L31" s="61"/>
      <c r="M31" s="61"/>
    </row>
    <row r="32" spans="3:23" ht="20" x14ac:dyDescent="0.3">
      <c r="E32" s="3" t="s">
        <v>194</v>
      </c>
      <c r="F32" s="4" t="s">
        <v>193</v>
      </c>
      <c r="G32" s="61"/>
      <c r="H32" s="61"/>
      <c r="I32" s="61"/>
      <c r="J32" s="59"/>
      <c r="K32" s="61"/>
      <c r="L32" s="61"/>
      <c r="M32" s="61"/>
    </row>
    <row r="33" spans="4:17" ht="20" x14ac:dyDescent="0.3">
      <c r="E33" s="3" t="s">
        <v>195</v>
      </c>
      <c r="F33" s="4" t="s">
        <v>213</v>
      </c>
      <c r="G33" s="61"/>
      <c r="H33" s="61"/>
      <c r="I33" s="61"/>
      <c r="J33" s="59"/>
      <c r="K33" s="61"/>
      <c r="L33" s="61"/>
      <c r="M33" s="61"/>
    </row>
    <row r="34" spans="4:17" ht="20" x14ac:dyDescent="0.3">
      <c r="E34" s="3" t="s">
        <v>196</v>
      </c>
      <c r="F34" s="4" t="s">
        <v>214</v>
      </c>
      <c r="G34" s="61"/>
      <c r="H34" s="61"/>
      <c r="I34" s="61"/>
      <c r="J34" s="59"/>
      <c r="K34" s="61"/>
      <c r="L34" s="61"/>
      <c r="M34" s="61"/>
    </row>
    <row r="35" spans="4:17" ht="20" x14ac:dyDescent="0.3">
      <c r="D35" s="62"/>
      <c r="E35" s="3" t="s">
        <v>197</v>
      </c>
      <c r="F35" s="4" t="s">
        <v>215</v>
      </c>
      <c r="G35" s="61"/>
      <c r="H35" s="61"/>
      <c r="I35" s="61"/>
      <c r="J35" s="59"/>
      <c r="K35" s="61"/>
      <c r="L35" s="61"/>
      <c r="M35" s="61"/>
    </row>
    <row r="36" spans="4:17" ht="40" x14ac:dyDescent="0.3">
      <c r="E36" s="3" t="s">
        <v>217</v>
      </c>
      <c r="F36" s="4" t="s">
        <v>216</v>
      </c>
      <c r="G36" s="63"/>
      <c r="H36" s="64"/>
      <c r="I36" s="64"/>
      <c r="J36" s="65"/>
      <c r="K36" s="64"/>
      <c r="L36" s="64"/>
      <c r="M36" s="64"/>
    </row>
    <row r="37" spans="4:17" ht="20" x14ac:dyDescent="0.3">
      <c r="E37" s="3" t="s">
        <v>199</v>
      </c>
      <c r="F37" s="4" t="s">
        <v>218</v>
      </c>
      <c r="G37" s="63"/>
      <c r="H37" s="64"/>
      <c r="I37" s="64"/>
      <c r="J37" s="65"/>
      <c r="K37" s="64"/>
      <c r="L37" s="64"/>
      <c r="M37" s="64"/>
    </row>
    <row r="38" spans="4:17" ht="20" x14ac:dyDescent="0.3">
      <c r="E38" s="3" t="s">
        <v>200</v>
      </c>
      <c r="F38" s="4" t="s">
        <v>219</v>
      </c>
    </row>
    <row r="39" spans="4:17" ht="20" x14ac:dyDescent="0.3">
      <c r="E39" s="3" t="s">
        <v>201</v>
      </c>
      <c r="F39" s="4" t="s">
        <v>220</v>
      </c>
    </row>
    <row r="40" spans="4:17" ht="40" x14ac:dyDescent="0.3">
      <c r="E40" s="3" t="s">
        <v>202</v>
      </c>
      <c r="F40" s="4" t="s">
        <v>221</v>
      </c>
      <c r="G40" s="66"/>
      <c r="H40" s="66"/>
    </row>
    <row r="41" spans="4:17" ht="40" x14ac:dyDescent="0.3">
      <c r="E41" s="3" t="s">
        <v>203</v>
      </c>
      <c r="F41" s="4" t="s">
        <v>222</v>
      </c>
      <c r="G41" s="67"/>
      <c r="H41" s="67"/>
    </row>
    <row r="42" spans="4:17" ht="20" x14ac:dyDescent="0.3">
      <c r="E42" s="3" t="s">
        <v>204</v>
      </c>
      <c r="F42" s="4" t="s">
        <v>223</v>
      </c>
      <c r="G42" s="68"/>
      <c r="H42" s="68"/>
    </row>
    <row r="43" spans="4:17" ht="20" x14ac:dyDescent="0.3">
      <c r="E43" s="3" t="s">
        <v>205</v>
      </c>
      <c r="F43" s="4" t="s">
        <v>293</v>
      </c>
      <c r="G43" s="68"/>
      <c r="H43" s="68"/>
    </row>
    <row r="44" spans="4:17" ht="20" x14ac:dyDescent="0.3">
      <c r="E44" s="3" t="s">
        <v>206</v>
      </c>
      <c r="F44" s="4" t="s">
        <v>224</v>
      </c>
      <c r="G44" s="68"/>
      <c r="H44" s="68"/>
    </row>
    <row r="45" spans="4:17" ht="20" x14ac:dyDescent="0.3">
      <c r="E45" s="3" t="s">
        <v>207</v>
      </c>
      <c r="F45" s="4" t="s">
        <v>225</v>
      </c>
    </row>
    <row r="46" spans="4:17" ht="40" x14ac:dyDescent="0.3">
      <c r="E46" s="3" t="s">
        <v>227</v>
      </c>
      <c r="F46" s="4" t="s">
        <v>226</v>
      </c>
    </row>
    <row r="47" spans="4:17" ht="20.5" thickBot="1" x14ac:dyDescent="0.35">
      <c r="E47" s="5" t="s">
        <v>229</v>
      </c>
      <c r="F47" s="6" t="s">
        <v>228</v>
      </c>
    </row>
    <row r="48" spans="4:17" x14ac:dyDescent="0.3">
      <c r="Q48" s="48"/>
    </row>
    <row r="49" spans="17:17" x14ac:dyDescent="0.3">
      <c r="Q49" s="48"/>
    </row>
    <row r="50" spans="17:17" x14ac:dyDescent="0.3">
      <c r="Q50" s="48"/>
    </row>
    <row r="51" spans="17:17" x14ac:dyDescent="0.3">
      <c r="Q51" s="48"/>
    </row>
    <row r="52" spans="17:17" x14ac:dyDescent="0.3">
      <c r="Q52" s="48"/>
    </row>
    <row r="53" spans="17:17" x14ac:dyDescent="0.3">
      <c r="Q53" s="48"/>
    </row>
    <row r="54" spans="17:17" x14ac:dyDescent="0.3">
      <c r="Q54" s="48"/>
    </row>
    <row r="55" spans="17:17" x14ac:dyDescent="0.3">
      <c r="Q55" s="48"/>
    </row>
    <row r="56" spans="17:17" x14ac:dyDescent="0.3">
      <c r="Q56" s="48"/>
    </row>
    <row r="57" spans="17:17" x14ac:dyDescent="0.3">
      <c r="Q57" s="48"/>
    </row>
    <row r="58" spans="17:17" x14ac:dyDescent="0.3">
      <c r="Q58" s="48"/>
    </row>
    <row r="59" spans="17:17" x14ac:dyDescent="0.3">
      <c r="Q59" s="48"/>
    </row>
    <row r="60" spans="17:17" x14ac:dyDescent="0.3">
      <c r="Q60" s="48"/>
    </row>
    <row r="61" spans="17:17" x14ac:dyDescent="0.3">
      <c r="Q61" s="48"/>
    </row>
    <row r="62" spans="17:17" x14ac:dyDescent="0.3">
      <c r="Q62" s="48"/>
    </row>
    <row r="63" spans="17:17" x14ac:dyDescent="0.3">
      <c r="Q63" s="48"/>
    </row>
    <row r="64" spans="17:17" x14ac:dyDescent="0.3">
      <c r="Q64" s="48"/>
    </row>
    <row r="65" spans="17:17" x14ac:dyDescent="0.3">
      <c r="Q65" s="48"/>
    </row>
  </sheetData>
  <mergeCells count="6">
    <mergeCell ref="S4:U4"/>
    <mergeCell ref="E29:L29"/>
    <mergeCell ref="E30:F30"/>
    <mergeCell ref="C4:J4"/>
    <mergeCell ref="K4:N4"/>
    <mergeCell ref="O4:R4"/>
  </mergeCells>
  <conditionalFormatting sqref="G3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25">
    <cfRule type="cellIs" dxfId="9" priority="4" operator="equal">
      <formula>"Low"</formula>
    </cfRule>
    <cfRule type="cellIs" dxfId="8" priority="5" operator="equal">
      <formula>"Medium"</formula>
    </cfRule>
    <cfRule type="cellIs" dxfId="7" priority="6" operator="equal">
      <formula>"High"</formula>
    </cfRule>
  </conditionalFormatting>
  <conditionalFormatting sqref="N6:N25">
    <cfRule type="cellIs" dxfId="6" priority="1" operator="between">
      <formula>51</formula>
      <formula>70</formula>
    </cfRule>
    <cfRule type="cellIs" dxfId="5" priority="2" operator="between">
      <formula>26</formula>
      <formula>50</formula>
    </cfRule>
    <cfRule type="cellIs" dxfId="4" priority="3" operator="between">
      <formula>0</formula>
      <formula>25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EC7E-5BA8-42C3-AAF9-BFB720C00257}">
  <dimension ref="A2:I30"/>
  <sheetViews>
    <sheetView topLeftCell="A15" zoomScale="53" workbookViewId="0">
      <selection activeCell="A23" sqref="A23:C23"/>
    </sheetView>
  </sheetViews>
  <sheetFormatPr defaultRowHeight="14.5" x14ac:dyDescent="0.35"/>
  <cols>
    <col min="1" max="1" width="15.26953125" customWidth="1"/>
    <col min="2" max="2" width="19" customWidth="1"/>
    <col min="3" max="3" width="17" customWidth="1"/>
    <col min="4" max="4" width="27.90625" customWidth="1"/>
    <col min="6" max="6" width="13.453125" customWidth="1"/>
    <col min="7" max="7" width="14.36328125" customWidth="1"/>
    <col min="8" max="8" width="26.08984375" customWidth="1"/>
  </cols>
  <sheetData>
    <row r="2" spans="1:9" ht="17.5" x14ac:dyDescent="0.35">
      <c r="A2" s="69" t="s">
        <v>254</v>
      </c>
      <c r="B2" s="70"/>
      <c r="C2" s="28"/>
      <c r="D2" s="7"/>
      <c r="E2" s="7"/>
      <c r="F2" s="72" t="s">
        <v>307</v>
      </c>
      <c r="G2" s="73"/>
      <c r="H2" s="73"/>
      <c r="I2" s="21"/>
    </row>
    <row r="3" spans="1:9" x14ac:dyDescent="0.35">
      <c r="F3" s="22"/>
      <c r="G3" s="23" t="s">
        <v>304</v>
      </c>
      <c r="H3" s="24"/>
      <c r="I3" s="25"/>
    </row>
    <row r="4" spans="1:9" ht="15.5" x14ac:dyDescent="0.35">
      <c r="A4" s="8" t="s">
        <v>255</v>
      </c>
      <c r="B4" s="8"/>
      <c r="C4" s="8"/>
      <c r="D4" s="8"/>
      <c r="E4" s="8"/>
      <c r="F4" s="26"/>
      <c r="G4" s="108" t="s">
        <v>305</v>
      </c>
      <c r="H4" s="108"/>
      <c r="I4" s="108"/>
    </row>
    <row r="5" spans="1:9" ht="15.5" x14ac:dyDescent="0.35">
      <c r="A5" s="9" t="s">
        <v>256</v>
      </c>
      <c r="B5" s="8"/>
      <c r="C5" s="8"/>
      <c r="D5" s="8"/>
      <c r="E5" s="8"/>
      <c r="F5" s="27"/>
      <c r="G5" s="109" t="s">
        <v>306</v>
      </c>
      <c r="H5" s="109"/>
      <c r="I5" s="109"/>
    </row>
    <row r="6" spans="1:9" ht="15.5" x14ac:dyDescent="0.35">
      <c r="A6" s="8"/>
      <c r="B6" s="8"/>
      <c r="C6" s="8"/>
      <c r="D6" s="8"/>
      <c r="E6" s="8"/>
      <c r="F6" s="8"/>
    </row>
    <row r="7" spans="1:9" ht="15.5" x14ac:dyDescent="0.35">
      <c r="A7" s="8" t="s">
        <v>257</v>
      </c>
      <c r="B7" s="8"/>
      <c r="C7" s="8"/>
      <c r="D7" s="8"/>
      <c r="E7" s="8"/>
      <c r="F7" s="8"/>
    </row>
    <row r="8" spans="1:9" ht="15.5" x14ac:dyDescent="0.35">
      <c r="A8" s="10" t="s">
        <v>258</v>
      </c>
      <c r="B8" s="8"/>
      <c r="C8" s="8"/>
      <c r="D8" s="8"/>
      <c r="E8" s="8"/>
      <c r="F8" s="8"/>
    </row>
    <row r="9" spans="1:9" ht="15.5" x14ac:dyDescent="0.35">
      <c r="A9" s="10" t="s">
        <v>259</v>
      </c>
      <c r="B9" s="8"/>
      <c r="C9" s="8"/>
      <c r="D9" s="8"/>
      <c r="E9" s="8"/>
      <c r="F9" s="8"/>
    </row>
    <row r="10" spans="1:9" ht="15.5" x14ac:dyDescent="0.35">
      <c r="A10" s="10" t="s">
        <v>260</v>
      </c>
      <c r="B10" s="8"/>
      <c r="C10" s="8"/>
      <c r="D10" s="8"/>
      <c r="E10" s="8"/>
      <c r="F10" s="8"/>
    </row>
    <row r="13" spans="1:9" ht="17.5" x14ac:dyDescent="0.35">
      <c r="A13" s="69" t="s">
        <v>308</v>
      </c>
      <c r="B13" s="71"/>
      <c r="C13" s="71"/>
    </row>
    <row r="15" spans="1:9" ht="28" x14ac:dyDescent="0.35">
      <c r="A15" s="11" t="s">
        <v>261</v>
      </c>
      <c r="B15" s="11" t="s">
        <v>262</v>
      </c>
      <c r="C15" s="12" t="s">
        <v>273</v>
      </c>
      <c r="D15" s="11" t="s">
        <v>263</v>
      </c>
      <c r="G15" s="107" t="s">
        <v>309</v>
      </c>
      <c r="H15" s="107"/>
    </row>
    <row r="16" spans="1:9" ht="58.5" customHeight="1" x14ac:dyDescent="0.35">
      <c r="A16" s="13" t="s">
        <v>264</v>
      </c>
      <c r="B16" s="13" t="s">
        <v>265</v>
      </c>
      <c r="C16" s="14"/>
      <c r="D16" s="15" t="s">
        <v>266</v>
      </c>
      <c r="G16" s="20" t="s">
        <v>139</v>
      </c>
      <c r="H16" s="20" t="s">
        <v>274</v>
      </c>
    </row>
    <row r="17" spans="1:8" ht="61.5" customHeight="1" x14ac:dyDescent="0.35">
      <c r="A17" s="13" t="s">
        <v>267</v>
      </c>
      <c r="B17" s="13" t="s">
        <v>268</v>
      </c>
      <c r="C17" s="16"/>
      <c r="D17" s="15" t="s">
        <v>269</v>
      </c>
      <c r="G17" s="18" t="s">
        <v>265</v>
      </c>
      <c r="H17" s="19" t="s">
        <v>275</v>
      </c>
    </row>
    <row r="18" spans="1:8" ht="61.5" customHeight="1" x14ac:dyDescent="0.35">
      <c r="A18" s="13" t="s">
        <v>270</v>
      </c>
      <c r="B18" s="13" t="s">
        <v>271</v>
      </c>
      <c r="C18" s="17"/>
      <c r="D18" s="15" t="s">
        <v>272</v>
      </c>
      <c r="G18" s="18" t="s">
        <v>268</v>
      </c>
      <c r="H18" s="19" t="s">
        <v>276</v>
      </c>
    </row>
    <row r="19" spans="1:8" ht="30" x14ac:dyDescent="0.35">
      <c r="G19" s="18" t="s">
        <v>271</v>
      </c>
      <c r="H19" s="19" t="s">
        <v>277</v>
      </c>
    </row>
    <row r="23" spans="1:8" ht="17.5" x14ac:dyDescent="0.35">
      <c r="A23" s="69" t="s">
        <v>278</v>
      </c>
      <c r="B23" s="74"/>
      <c r="C23" s="113"/>
      <c r="E23" s="75" t="s">
        <v>303</v>
      </c>
      <c r="F23" s="75"/>
      <c r="G23" s="75"/>
    </row>
    <row r="25" spans="1:8" x14ac:dyDescent="0.35">
      <c r="A25" s="11" t="s">
        <v>279</v>
      </c>
      <c r="B25" s="11" t="s">
        <v>280</v>
      </c>
      <c r="C25" s="11" t="s">
        <v>274</v>
      </c>
      <c r="E25" s="11" t="s">
        <v>279</v>
      </c>
      <c r="F25" s="11" t="s">
        <v>140</v>
      </c>
      <c r="G25" s="11" t="s">
        <v>274</v>
      </c>
    </row>
    <row r="26" spans="1:8" ht="28" x14ac:dyDescent="0.35">
      <c r="A26" s="13">
        <v>5</v>
      </c>
      <c r="B26" s="13" t="s">
        <v>281</v>
      </c>
      <c r="C26" s="15" t="s">
        <v>286</v>
      </c>
      <c r="E26" s="13">
        <v>5</v>
      </c>
      <c r="F26" s="13" t="s">
        <v>294</v>
      </c>
      <c r="G26" s="13" t="s">
        <v>295</v>
      </c>
    </row>
    <row r="27" spans="1:8" x14ac:dyDescent="0.35">
      <c r="A27" s="13">
        <v>4</v>
      </c>
      <c r="B27" s="13" t="s">
        <v>282</v>
      </c>
      <c r="C27" s="15" t="s">
        <v>287</v>
      </c>
      <c r="E27" s="13">
        <v>4</v>
      </c>
      <c r="F27" s="13" t="s">
        <v>296</v>
      </c>
      <c r="G27" s="13" t="s">
        <v>297</v>
      </c>
    </row>
    <row r="28" spans="1:8" x14ac:dyDescent="0.35">
      <c r="A28" s="13">
        <v>3</v>
      </c>
      <c r="B28" s="13" t="s">
        <v>283</v>
      </c>
      <c r="C28" s="15" t="s">
        <v>288</v>
      </c>
      <c r="E28" s="13">
        <v>3</v>
      </c>
      <c r="F28" s="13" t="s">
        <v>298</v>
      </c>
      <c r="G28" s="13" t="s">
        <v>299</v>
      </c>
    </row>
    <row r="29" spans="1:8" x14ac:dyDescent="0.35">
      <c r="A29" s="13">
        <v>2</v>
      </c>
      <c r="B29" s="13" t="s">
        <v>284</v>
      </c>
      <c r="C29" s="15" t="s">
        <v>289</v>
      </c>
      <c r="E29" s="13">
        <v>2</v>
      </c>
      <c r="F29" s="13" t="s">
        <v>300</v>
      </c>
      <c r="G29" s="13" t="s">
        <v>301</v>
      </c>
    </row>
    <row r="30" spans="1:8" x14ac:dyDescent="0.35">
      <c r="A30" s="13">
        <v>1</v>
      </c>
      <c r="B30" s="13" t="s">
        <v>285</v>
      </c>
      <c r="C30" s="15" t="s">
        <v>290</v>
      </c>
      <c r="E30" s="13">
        <v>1</v>
      </c>
      <c r="F30" s="13" t="s">
        <v>301</v>
      </c>
      <c r="G30" s="13" t="s">
        <v>302</v>
      </c>
    </row>
  </sheetData>
  <mergeCells count="3">
    <mergeCell ref="G15:H15"/>
    <mergeCell ref="G4:I4"/>
    <mergeCell ref="G5:I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9E6B-BA23-4B9B-AD76-F0EB9B33CCCD}">
  <dimension ref="A3:K19"/>
  <sheetViews>
    <sheetView topLeftCell="A27" workbookViewId="0">
      <selection activeCell="G19" sqref="G19"/>
    </sheetView>
  </sheetViews>
  <sheetFormatPr defaultRowHeight="14.5" x14ac:dyDescent="0.35"/>
  <cols>
    <col min="1" max="1" width="11.81640625" customWidth="1"/>
    <col min="2" max="2" width="19.81640625" customWidth="1"/>
    <col min="3" max="3" width="24.7265625" customWidth="1"/>
    <col min="5" max="5" width="12.7265625" customWidth="1"/>
    <col min="6" max="6" width="14.1796875" customWidth="1"/>
    <col min="7" max="7" width="16.08984375" customWidth="1"/>
    <col min="9" max="9" width="14.81640625" customWidth="1"/>
    <col min="10" max="10" width="17.7265625" customWidth="1"/>
    <col min="11" max="11" width="16.453125" customWidth="1"/>
  </cols>
  <sheetData>
    <row r="3" spans="1:11" x14ac:dyDescent="0.35">
      <c r="A3" s="76" t="s">
        <v>312</v>
      </c>
      <c r="B3" s="76" t="s">
        <v>142</v>
      </c>
      <c r="C3" s="76" t="s">
        <v>141</v>
      </c>
      <c r="E3" s="76" t="s">
        <v>312</v>
      </c>
      <c r="F3" s="76" t="s">
        <v>142</v>
      </c>
      <c r="G3" s="76" t="s">
        <v>141</v>
      </c>
      <c r="I3" s="76" t="s">
        <v>312</v>
      </c>
      <c r="J3" s="76" t="s">
        <v>142</v>
      </c>
      <c r="K3" s="76" t="s">
        <v>141</v>
      </c>
    </row>
    <row r="4" spans="1:11" ht="29" x14ac:dyDescent="0.35">
      <c r="A4" s="110" t="s">
        <v>313</v>
      </c>
      <c r="B4" s="78" t="s">
        <v>314</v>
      </c>
      <c r="C4" s="78" t="s">
        <v>315</v>
      </c>
      <c r="E4" s="110" t="s">
        <v>342</v>
      </c>
      <c r="F4" s="78" t="s">
        <v>343</v>
      </c>
      <c r="G4" s="78" t="s">
        <v>344</v>
      </c>
      <c r="I4" s="110" t="s">
        <v>369</v>
      </c>
      <c r="J4" s="78" t="s">
        <v>370</v>
      </c>
      <c r="K4" s="78" t="s">
        <v>371</v>
      </c>
    </row>
    <row r="5" spans="1:11" ht="29" x14ac:dyDescent="0.35">
      <c r="A5" s="110"/>
      <c r="B5" s="78" t="s">
        <v>316</v>
      </c>
      <c r="C5" s="78" t="s">
        <v>317</v>
      </c>
      <c r="E5" s="110"/>
      <c r="F5" s="78" t="s">
        <v>345</v>
      </c>
      <c r="G5" s="78" t="s">
        <v>346</v>
      </c>
      <c r="I5" s="110"/>
      <c r="J5" s="78" t="s">
        <v>372</v>
      </c>
      <c r="K5" s="78" t="s">
        <v>373</v>
      </c>
    </row>
    <row r="6" spans="1:11" ht="29" x14ac:dyDescent="0.35">
      <c r="A6" s="110"/>
      <c r="B6" s="78" t="s">
        <v>318</v>
      </c>
      <c r="C6" s="78" t="s">
        <v>319</v>
      </c>
      <c r="E6" s="110"/>
      <c r="F6" s="78" t="s">
        <v>347</v>
      </c>
      <c r="G6" s="78" t="s">
        <v>348</v>
      </c>
      <c r="I6" s="110"/>
      <c r="J6" s="78" t="s">
        <v>374</v>
      </c>
      <c r="K6" s="78" t="s">
        <v>375</v>
      </c>
    </row>
    <row r="7" spans="1:11" ht="29" x14ac:dyDescent="0.35">
      <c r="A7" s="110"/>
      <c r="B7" s="78" t="s">
        <v>320</v>
      </c>
      <c r="C7" s="78" t="s">
        <v>321</v>
      </c>
      <c r="E7" s="110"/>
      <c r="F7" s="78" t="s">
        <v>349</v>
      </c>
      <c r="G7" s="78" t="s">
        <v>350</v>
      </c>
      <c r="I7" s="110"/>
      <c r="J7" s="78" t="s">
        <v>322</v>
      </c>
      <c r="K7" s="78" t="s">
        <v>376</v>
      </c>
    </row>
    <row r="8" spans="1:11" ht="29" x14ac:dyDescent="0.35">
      <c r="A8" s="110"/>
      <c r="B8" s="78" t="s">
        <v>322</v>
      </c>
      <c r="C8" s="78" t="s">
        <v>323</v>
      </c>
      <c r="E8" s="110"/>
      <c r="F8" s="78" t="s">
        <v>351</v>
      </c>
      <c r="G8" s="78" t="s">
        <v>352</v>
      </c>
      <c r="I8" s="110"/>
      <c r="J8" s="78" t="s">
        <v>377</v>
      </c>
      <c r="K8" s="78" t="s">
        <v>378</v>
      </c>
    </row>
    <row r="9" spans="1:11" ht="29" x14ac:dyDescent="0.35">
      <c r="A9" s="110"/>
      <c r="B9" s="78" t="s">
        <v>324</v>
      </c>
      <c r="C9" s="78" t="s">
        <v>325</v>
      </c>
      <c r="E9" s="110"/>
      <c r="F9" s="78" t="s">
        <v>45</v>
      </c>
      <c r="G9" s="78" t="s">
        <v>65</v>
      </c>
      <c r="I9" s="110"/>
      <c r="J9" s="78" t="s">
        <v>379</v>
      </c>
      <c r="K9" s="78" t="s">
        <v>380</v>
      </c>
    </row>
    <row r="10" spans="1:11" ht="29" x14ac:dyDescent="0.35">
      <c r="A10" s="110"/>
      <c r="B10" s="78" t="s">
        <v>326</v>
      </c>
      <c r="C10" s="78" t="s">
        <v>65</v>
      </c>
      <c r="E10" s="110"/>
      <c r="F10" s="78" t="s">
        <v>353</v>
      </c>
      <c r="G10" s="78" t="s">
        <v>354</v>
      </c>
      <c r="I10" s="110" t="s">
        <v>150</v>
      </c>
      <c r="J10" s="78" t="s">
        <v>381</v>
      </c>
      <c r="K10" s="78" t="s">
        <v>382</v>
      </c>
    </row>
    <row r="11" spans="1:11" x14ac:dyDescent="0.35">
      <c r="A11" s="110"/>
      <c r="B11" s="78" t="s">
        <v>327</v>
      </c>
      <c r="C11" s="78" t="s">
        <v>328</v>
      </c>
      <c r="E11" s="110" t="s">
        <v>355</v>
      </c>
      <c r="F11" s="78" t="s">
        <v>356</v>
      </c>
      <c r="G11" s="78" t="s">
        <v>357</v>
      </c>
      <c r="I11" s="110"/>
      <c r="J11" s="78" t="s">
        <v>383</v>
      </c>
      <c r="K11" s="78" t="s">
        <v>384</v>
      </c>
    </row>
    <row r="12" spans="1:11" ht="29" x14ac:dyDescent="0.35">
      <c r="A12" s="110" t="s">
        <v>392</v>
      </c>
      <c r="B12" s="78" t="s">
        <v>329</v>
      </c>
      <c r="C12" s="78" t="s">
        <v>330</v>
      </c>
      <c r="E12" s="110"/>
      <c r="F12" s="78" t="s">
        <v>358</v>
      </c>
      <c r="G12" s="78" t="s">
        <v>359</v>
      </c>
      <c r="I12" s="110"/>
      <c r="J12" s="78" t="s">
        <v>38</v>
      </c>
      <c r="K12" s="78" t="s">
        <v>385</v>
      </c>
    </row>
    <row r="13" spans="1:11" ht="29" x14ac:dyDescent="0.35">
      <c r="A13" s="110"/>
      <c r="B13" s="78" t="s">
        <v>331</v>
      </c>
      <c r="C13" s="78" t="s">
        <v>332</v>
      </c>
      <c r="E13" s="110"/>
      <c r="F13" s="78" t="s">
        <v>360</v>
      </c>
      <c r="G13" s="78" t="s">
        <v>361</v>
      </c>
      <c r="I13" s="110"/>
      <c r="J13" s="78" t="s">
        <v>386</v>
      </c>
      <c r="K13" s="78" t="s">
        <v>387</v>
      </c>
    </row>
    <row r="14" spans="1:11" ht="29" x14ac:dyDescent="0.35">
      <c r="A14" s="110"/>
      <c r="B14" s="78" t="s">
        <v>45</v>
      </c>
      <c r="C14" s="78" t="s">
        <v>112</v>
      </c>
      <c r="E14" s="110"/>
      <c r="F14" s="78" t="s">
        <v>362</v>
      </c>
      <c r="G14" s="78" t="s">
        <v>363</v>
      </c>
      <c r="I14" s="110"/>
      <c r="J14" s="78" t="s">
        <v>388</v>
      </c>
      <c r="K14" s="78" t="s">
        <v>389</v>
      </c>
    </row>
    <row r="15" spans="1:11" ht="29" x14ac:dyDescent="0.35">
      <c r="A15" s="110"/>
      <c r="B15" s="78" t="s">
        <v>333</v>
      </c>
      <c r="C15" s="78" t="s">
        <v>334</v>
      </c>
      <c r="E15" s="110"/>
      <c r="F15" s="78" t="s">
        <v>364</v>
      </c>
      <c r="G15" s="78" t="s">
        <v>365</v>
      </c>
      <c r="I15" s="110"/>
      <c r="J15" s="78" t="s">
        <v>390</v>
      </c>
      <c r="K15" s="78" t="s">
        <v>391</v>
      </c>
    </row>
    <row r="16" spans="1:11" ht="29" x14ac:dyDescent="0.35">
      <c r="A16" s="110"/>
      <c r="B16" s="78" t="s">
        <v>326</v>
      </c>
      <c r="C16" s="78" t="s">
        <v>335</v>
      </c>
      <c r="E16" s="110"/>
      <c r="F16" s="78" t="s">
        <v>132</v>
      </c>
      <c r="G16" s="78" t="s">
        <v>366</v>
      </c>
    </row>
    <row r="17" spans="1:7" ht="29" x14ac:dyDescent="0.35">
      <c r="A17" s="110"/>
      <c r="B17" s="78" t="s">
        <v>336</v>
      </c>
      <c r="C17" s="78" t="s">
        <v>337</v>
      </c>
      <c r="E17" s="110"/>
      <c r="F17" s="78" t="s">
        <v>367</v>
      </c>
      <c r="G17" s="78" t="s">
        <v>368</v>
      </c>
    </row>
    <row r="18" spans="1:7" x14ac:dyDescent="0.35">
      <c r="A18" s="110"/>
      <c r="B18" s="78" t="s">
        <v>338</v>
      </c>
      <c r="C18" s="78" t="s">
        <v>339</v>
      </c>
      <c r="E18" s="79"/>
      <c r="F18" s="80"/>
      <c r="G18" s="80"/>
    </row>
    <row r="19" spans="1:7" x14ac:dyDescent="0.35">
      <c r="A19" s="110"/>
      <c r="B19" s="78" t="s">
        <v>340</v>
      </c>
      <c r="C19" s="78" t="s">
        <v>341</v>
      </c>
    </row>
  </sheetData>
  <mergeCells count="6">
    <mergeCell ref="A4:A11"/>
    <mergeCell ref="A12:A19"/>
    <mergeCell ref="E4:E10"/>
    <mergeCell ref="I4:I9"/>
    <mergeCell ref="I10:I15"/>
    <mergeCell ref="E11:E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C3DE-DC2F-4D5F-8EF0-2213B7F3F9C0}">
  <dimension ref="B4:J22"/>
  <sheetViews>
    <sheetView tabSelected="1" topLeftCell="A2" workbookViewId="0">
      <selection activeCell="E17" sqref="E17"/>
    </sheetView>
  </sheetViews>
  <sheetFormatPr defaultRowHeight="14.5" x14ac:dyDescent="0.35"/>
  <cols>
    <col min="2" max="2" width="8.7265625" customWidth="1"/>
  </cols>
  <sheetData>
    <row r="4" spans="2:7" x14ac:dyDescent="0.35">
      <c r="B4" s="86"/>
      <c r="C4" s="111" t="s">
        <v>140</v>
      </c>
      <c r="D4" s="112"/>
      <c r="E4" s="112"/>
      <c r="F4" s="112"/>
      <c r="G4" s="112"/>
    </row>
    <row r="5" spans="2:7" x14ac:dyDescent="0.35">
      <c r="B5" s="85" t="s">
        <v>393</v>
      </c>
      <c r="C5" s="83">
        <v>1</v>
      </c>
      <c r="D5" s="83">
        <v>2</v>
      </c>
      <c r="E5" s="83">
        <v>3</v>
      </c>
      <c r="F5" s="83">
        <v>4</v>
      </c>
      <c r="G5" s="83">
        <v>5</v>
      </c>
    </row>
    <row r="6" spans="2:7" x14ac:dyDescent="0.35">
      <c r="B6" s="83">
        <v>5</v>
      </c>
      <c r="C6" s="84">
        <v>15</v>
      </c>
      <c r="D6" s="84">
        <v>30</v>
      </c>
      <c r="E6" s="84">
        <v>45</v>
      </c>
      <c r="F6" s="84">
        <v>60</v>
      </c>
      <c r="G6" s="84">
        <v>75</v>
      </c>
    </row>
    <row r="7" spans="2:7" x14ac:dyDescent="0.35">
      <c r="B7" s="83">
        <v>4</v>
      </c>
      <c r="C7" s="84">
        <v>12</v>
      </c>
      <c r="D7" s="84">
        <v>24</v>
      </c>
      <c r="E7" s="84">
        <v>36</v>
      </c>
      <c r="F7" s="84">
        <v>48</v>
      </c>
      <c r="G7" s="84">
        <v>60</v>
      </c>
    </row>
    <row r="8" spans="2:7" x14ac:dyDescent="0.35">
      <c r="B8" s="83">
        <v>3</v>
      </c>
      <c r="C8" s="84">
        <v>9</v>
      </c>
      <c r="D8" s="84">
        <v>18</v>
      </c>
      <c r="E8" s="84">
        <v>27</v>
      </c>
      <c r="F8" s="84">
        <v>36</v>
      </c>
      <c r="G8" s="84">
        <v>45</v>
      </c>
    </row>
    <row r="9" spans="2:7" x14ac:dyDescent="0.35">
      <c r="B9" s="83">
        <v>2</v>
      </c>
      <c r="C9" s="84">
        <v>6</v>
      </c>
      <c r="D9" s="84">
        <v>12</v>
      </c>
      <c r="E9" s="84">
        <v>18</v>
      </c>
      <c r="F9" s="84">
        <v>24</v>
      </c>
      <c r="G9" s="84">
        <v>30</v>
      </c>
    </row>
    <row r="10" spans="2:7" x14ac:dyDescent="0.35">
      <c r="B10" s="83">
        <v>1</v>
      </c>
      <c r="C10" s="84">
        <v>3</v>
      </c>
      <c r="D10" s="84">
        <v>6</v>
      </c>
      <c r="E10" s="84">
        <v>9</v>
      </c>
      <c r="F10" s="84">
        <v>12</v>
      </c>
      <c r="G10" s="84">
        <v>15</v>
      </c>
    </row>
    <row r="13" spans="2:7" x14ac:dyDescent="0.35">
      <c r="B13" s="81" t="s">
        <v>400</v>
      </c>
    </row>
    <row r="14" spans="2:7" x14ac:dyDescent="0.35">
      <c r="B14" s="81" t="s">
        <v>394</v>
      </c>
    </row>
    <row r="18" spans="2:10" x14ac:dyDescent="0.35">
      <c r="B18" s="91" t="s">
        <v>401</v>
      </c>
      <c r="C18" s="92"/>
      <c r="D18" s="82"/>
      <c r="E18" s="82"/>
      <c r="F18" s="82"/>
      <c r="G18" s="82"/>
      <c r="H18" s="82"/>
      <c r="I18" s="82"/>
      <c r="J18" s="82"/>
    </row>
    <row r="19" spans="2:10" x14ac:dyDescent="0.35">
      <c r="B19" s="87" t="s">
        <v>395</v>
      </c>
      <c r="C19" s="87" t="s">
        <v>396</v>
      </c>
    </row>
    <row r="20" spans="2:10" x14ac:dyDescent="0.35">
      <c r="B20" s="77" t="s">
        <v>397</v>
      </c>
      <c r="C20" s="88" t="s">
        <v>265</v>
      </c>
    </row>
    <row r="21" spans="2:10" x14ac:dyDescent="0.35">
      <c r="B21" s="77" t="s">
        <v>398</v>
      </c>
      <c r="C21" s="89" t="s">
        <v>268</v>
      </c>
    </row>
    <row r="22" spans="2:10" x14ac:dyDescent="0.35">
      <c r="B22" s="77" t="s">
        <v>399</v>
      </c>
      <c r="C22" s="90" t="s">
        <v>271</v>
      </c>
    </row>
  </sheetData>
  <mergeCells count="1">
    <mergeCell ref="C4:G4"/>
  </mergeCells>
  <conditionalFormatting sqref="C10">
    <cfRule type="cellIs" dxfId="3" priority="4" operator="between">
      <formula>0</formula>
      <formula>25</formula>
    </cfRule>
  </conditionalFormatting>
  <conditionalFormatting sqref="C6:G10">
    <cfRule type="cellIs" dxfId="2" priority="1" operator="between">
      <formula>51</formula>
      <formula>75</formula>
    </cfRule>
    <cfRule type="cellIs" dxfId="1" priority="2" operator="between">
      <formula>26</formula>
      <formula>50</formula>
    </cfRule>
    <cfRule type="cellIs" dxfId="0" priority="3" operator="between">
      <formula>0</formula>
      <formula>25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Register</vt:lpstr>
      <vt:lpstr>Guidelines</vt:lpstr>
      <vt:lpstr>List of Threat &amp; Vulnerability</vt:lpstr>
      <vt:lpstr>Risk 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2026-04-25T13:35:21Z</dcterms:created>
  <dcterms:modified xsi:type="dcterms:W3CDTF">2026-04-28T06:21:35Z</dcterms:modified>
</cp:coreProperties>
</file>